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400_cht_wale_pr1\"/>
    </mc:Choice>
  </mc:AlternateContent>
  <bookViews>
    <workbookView xWindow="480" yWindow="240" windowWidth="27795" windowHeight="14250" activeTab="5"/>
  </bookViews>
  <sheets>
    <sheet name="Introduction" sheetId="9" r:id="rId1"/>
    <sheet name="&lt;U&gt;" sheetId="2" r:id="rId2"/>
    <sheet name="Rij" sheetId="3" r:id="rId3"/>
    <sheet name="Diss." sheetId="4" r:id="rId4"/>
    <sheet name="DNS" sheetId="1" r:id="rId5"/>
    <sheet name="scalar" sheetId="8" r:id="rId6"/>
    <sheet name="Kawamura_scalar" sheetId="7" r:id="rId7"/>
  </sheets>
  <definedNames>
    <definedName name="_11m_1" localSheetId="5">scalar!$A$150:$I$222</definedName>
    <definedName name="_12m_1" localSheetId="5">scalar!$A$224:$I$296</definedName>
    <definedName name="_13m_1" localSheetId="5">scalar!$A$298:$I$370</definedName>
    <definedName name="_395_1" localSheetId="4">DNS!$A$1:$M$1877</definedName>
    <definedName name="_395_diric" localSheetId="6">Kawamura_scalar!$A$1:$N$1412</definedName>
    <definedName name="diricm_1" localSheetId="5">scalar!$A$2:$I$74</definedName>
    <definedName name="diss1_1" localSheetId="3">Diss.!$A$2:$C$43</definedName>
    <definedName name="fluct1_1" localSheetId="2">Rij!$A$2:$E$43</definedName>
    <definedName name="moy1_" localSheetId="1">'&lt;U&gt;'!$A$2:$C$43</definedName>
    <definedName name="neumam_1" localSheetId="5">scalar!$A$76:$I$148</definedName>
  </definedNames>
  <calcPr calcId="162913"/>
</workbook>
</file>

<file path=xl/calcChain.xml><?xml version="1.0" encoding="utf-8"?>
<calcChain xmlns="http://schemas.openxmlformats.org/spreadsheetml/2006/main">
  <c r="B95" i="7" l="1"/>
  <c r="E17" i="9" l="1"/>
  <c r="C15" i="9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H2" i="4" l="1"/>
  <c r="D30" i="4" l="1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G4" i="3" l="1"/>
  <c r="G3" i="3"/>
  <c r="G2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Users\Flageul\Documents\stats\5.0_400_cht_wale_pr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Users\Flageul\Documents\stats\5.0_400_cht_wale_pr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3m" type="6" refreshedVersion="6" background="1" refreshOnLoad="1" saveData="1">
    <textPr prompt="0" codePage="852" sourceFile="D:\Users\Flageul\Documents\stats\5.0_400_cht_wale_pr1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395" type="6" refreshedVersion="6" background="1" refreshOnLoa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5" name="395_diric" type="6" refreshedVersion="6" background="1" refreshOnLoa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</connection>
  <connection id="6" name="diricm" type="6" refreshedVersion="6" background="1" refreshOnLoad="1" saveData="1">
    <textPr prompt="0" codePage="852" sourceFile="D:\Users\Flageul\Documents\stats\5.0_400_cht_wale_pr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Users\Flageul\Documents\stats\5.0_400_cht_wale_pr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Users\Flageul\Documents\stats\5.0_400_cht_wale_pr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moy1" type="6" refreshedVersion="6" background="1" refreshOnLoad="1" saveData="1">
    <textPr prompt="0" codePage="852" sourceFile="D:\Users\Flageul\Documents\stats\5.0_400_cht_wale_pr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neumam" type="6" refreshedVersion="6" background="1" refreshOnLoad="1" saveData="1">
    <textPr prompt="0" codePage="852" sourceFile="D:\Users\Flageul\Documents\stats\5.0_400_cht_wale_pr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<sst xmlns="http://schemas.openxmlformats.org/spreadsheetml/2006/main" count="1793" uniqueCount="514">
  <si>
    <t>diss_tot_sat</t>
  </si>
  <si>
    <t>DNS</t>
  </si>
  <si>
    <t>diss(wall)</t>
  </si>
  <si>
    <t>dns</t>
  </si>
  <si>
    <t>error in %</t>
  </si>
  <si>
    <t>wall</t>
  </si>
  <si>
    <t>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</si>
  <si>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</si>
  <si>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</si>
  <si>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</si>
  <si>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</si>
  <si>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</si>
  <si>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</si>
  <si>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</si>
  <si>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</si>
  <si>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</si>
  <si>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</si>
  <si>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</si>
  <si>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</si>
  <si>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</si>
  <si>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</si>
  <si>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</si>
  <si>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</si>
  <si>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</si>
  <si>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</si>
  <si>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</si>
  <si>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</si>
  <si>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</si>
  <si>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</si>
  <si>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</si>
  <si>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</si>
  <si>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</si>
  <si>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</si>
  <si>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</si>
  <si>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</si>
  <si>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</si>
  <si>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</si>
  <si>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</si>
  <si>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</si>
  <si>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</si>
  <si>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</si>
  <si>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</si>
  <si>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</si>
  <si>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</si>
  <si>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</si>
  <si>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</si>
  <si>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</si>
  <si>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</si>
  <si>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</si>
  <si>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</si>
  <si>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</si>
  <si>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</si>
  <si>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</si>
  <si>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</si>
  <si>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</si>
  <si>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</si>
  <si>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</si>
  <si>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</si>
  <si>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</si>
  <si>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</si>
  <si>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</si>
  <si>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</si>
  <si>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</si>
  <si>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</si>
  <si>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</si>
  <si>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</si>
  <si>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</si>
  <si>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</si>
  <si>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</si>
  <si>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</si>
  <si>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</si>
  <si>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</si>
  <si>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</si>
  <si>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</si>
  <si>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</si>
  <si>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</si>
  <si>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</si>
  <si>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</si>
  <si>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</si>
  <si>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</si>
  <si>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</si>
  <si>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</si>
  <si>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</si>
  <si>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</si>
  <si>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</si>
  <si>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</si>
  <si>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</si>
  <si>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</si>
  <si>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</si>
  <si>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</si>
  <si>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</si>
  <si>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</si>
  <si>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</si>
  <si>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</si>
  <si>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</si>
  <si>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</si>
  <si>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</si>
  <si>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</si>
  <si>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</si>
  <si>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</si>
  <si>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</si>
  <si>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</si>
  <si>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</si>
  <si>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</si>
  <si>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</si>
  <si>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</si>
  <si>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</si>
  <si>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</si>
  <si>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</si>
  <si>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</si>
  <si>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</si>
  <si>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</si>
  <si>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</si>
  <si>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</si>
  <si>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</si>
  <si>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</si>
  <si>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</si>
  <si>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</si>
  <si>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</si>
  <si>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</si>
  <si>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</si>
  <si>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</si>
  <si>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</si>
  <si>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</si>
  <si>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</si>
  <si>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</si>
  <si>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</si>
  <si>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</si>
  <si>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</si>
  <si>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</si>
  <si>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</si>
  <si>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</si>
  <si>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</si>
  <si>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</si>
  <si>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</si>
  <si>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</si>
  <si>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</si>
  <si>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</si>
  <si>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</si>
  <si>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</si>
  <si>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</si>
  <si>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</si>
  <si>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</si>
  <si>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</si>
  <si>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</si>
  <si>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</si>
  <si>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</si>
  <si>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</si>
  <si>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</si>
  <si>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</si>
  <si>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</si>
  <si>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</si>
  <si>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</si>
  <si>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</si>
  <si>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</si>
  <si>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</si>
  <si>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</si>
  <si>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</si>
  <si>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</si>
  <si>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</si>
  <si>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</si>
  <si>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</si>
  <si>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</si>
  <si>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</si>
  <si>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</si>
  <si>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</si>
  <si>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</si>
  <si>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</si>
  <si>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</si>
  <si>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</si>
  <si>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</si>
  <si>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</si>
  <si>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</si>
  <si>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</si>
  <si>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</si>
  <si>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</si>
  <si>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</si>
  <si>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</si>
  <si>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</si>
  <si>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</si>
  <si>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</si>
  <si>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</si>
  <si>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</si>
  <si>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</si>
  <si>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</si>
  <si>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</si>
  <si>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</si>
  <si>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</si>
  <si>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</si>
  <si>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</si>
  <si>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</si>
  <si>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</si>
  <si>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</si>
  <si>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</si>
  <si>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</si>
  <si>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</si>
  <si>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</si>
  <si>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</si>
  <si>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</si>
  <si>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</si>
  <si>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</si>
  <si>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</si>
  <si>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</si>
  <si>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</si>
  <si>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</si>
  <si>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</si>
  <si>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</si>
  <si>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</si>
  <si>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</si>
  <si>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</si>
  <si>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</si>
  <si>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</si>
  <si>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</si>
  <si>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</si>
  <si>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</si>
  <si>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</si>
  <si>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</si>
  <si>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</si>
  <si>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</si>
  <si>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</si>
  <si>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</si>
  <si>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</si>
  <si>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</si>
  <si>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</si>
  <si>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</si>
  <si>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</si>
  <si>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</si>
  <si>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</si>
  <si>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</si>
  <si>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</si>
  <si>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</si>
  <si>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</si>
  <si>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</si>
  <si>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</si>
  <si>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</si>
  <si>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</si>
  <si>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</si>
  <si>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</si>
  <si>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</si>
  <si>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</si>
  <si>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</si>
  <si>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</si>
  <si>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</si>
  <si>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</si>
  <si>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</si>
  <si>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</si>
  <si>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</si>
  <si>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</si>
  <si>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</si>
  <si>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</si>
  <si>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</si>
  <si>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</si>
  <si>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</si>
  <si>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</si>
  <si>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</si>
  <si>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</si>
  <si>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</si>
  <si>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</si>
  <si>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</si>
  <si>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</si>
  <si>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</si>
  <si>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</si>
  <si>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</si>
  <si>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</si>
  <si>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</si>
  <si>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</si>
  <si>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</si>
  <si>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</si>
  <si>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</si>
  <si>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</si>
  <si>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</si>
  <si>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</si>
  <si>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</si>
  <si>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</si>
  <si>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</si>
  <si>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</si>
  <si>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</si>
  <si>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</si>
  <si>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</si>
  <si>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</si>
  <si>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</si>
  <si>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</si>
  <si>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</si>
  <si>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</si>
  <si>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</si>
  <si>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</si>
  <si>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</si>
  <si>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</si>
  <si>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</si>
  <si>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</si>
  <si>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</si>
  <si>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</si>
  <si>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</si>
  <si>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</si>
  <si>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</si>
  <si>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</si>
  <si>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</si>
  <si>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</si>
  <si>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</si>
  <si>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</si>
  <si>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</si>
  <si>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</si>
  <si>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</si>
  <si>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</si>
  <si>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</si>
  <si>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</si>
  <si>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</si>
  <si>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</si>
  <si>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</si>
  <si>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</si>
  <si>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</si>
  <si>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</si>
  <si>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</si>
  <si>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</si>
  <si>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</si>
  <si>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</si>
  <si>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</si>
  <si>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</si>
  <si>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</si>
  <si>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</si>
  <si>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</si>
  <si>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</si>
  <si>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</si>
  <si>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</si>
  <si>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</si>
  <si>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</si>
  <si>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</si>
  <si>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</si>
  <si>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</si>
  <si>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</si>
  <si>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</si>
  <si>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</si>
  <si>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</si>
  <si>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</si>
  <si>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</si>
  <si>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</si>
  <si>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</si>
  <si>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</si>
  <si>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</si>
  <si>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</si>
  <si>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</si>
  <si>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</si>
  <si>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</si>
  <si>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</si>
  <si>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</si>
  <si>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</si>
  <si>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</si>
  <si>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</si>
  <si>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</si>
  <si>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</si>
  <si>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</si>
  <si>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</si>
  <si>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</si>
  <si>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</si>
  <si>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</si>
  <si>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</si>
  <si>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</si>
  <si>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</si>
  <si>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</si>
  <si>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</si>
  <si>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</si>
  <si>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</si>
  <si>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</si>
  <si>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</si>
  <si>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</si>
  <si>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</si>
  <si>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</si>
  <si>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</si>
  <si>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</si>
  <si>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</si>
  <si>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</si>
  <si>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</si>
  <si>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</si>
  <si>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</si>
  <si>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</si>
  <si>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</si>
  <si>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</si>
  <si>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</si>
  <si>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</si>
  <si>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</si>
  <si>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</si>
  <si>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</si>
  <si>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</si>
  <si>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</si>
  <si>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</si>
  <si>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</si>
  <si>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</si>
  <si>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</si>
  <si>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</si>
  <si>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</si>
  <si>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</si>
  <si>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</si>
  <si>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</si>
  <si>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</si>
  <si>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</si>
  <si>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</si>
  <si>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</si>
  <si>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</si>
  <si>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</si>
  <si>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</si>
  <si>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</si>
  <si>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</si>
  <si>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</si>
  <si>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</si>
  <si>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</si>
  <si>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</si>
  <si>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</si>
  <si>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</si>
  <si>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</si>
  <si>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</si>
  <si>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</si>
  <si>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</si>
  <si>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</si>
  <si>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</si>
  <si>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</si>
  <si>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</si>
  <si>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</si>
  <si>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</si>
  <si>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</si>
  <si>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</si>
  <si>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</si>
  <si>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</si>
  <si>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</si>
  <si>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</si>
  <si>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</si>
  <si>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</si>
  <si>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</si>
  <si>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</si>
  <si>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</si>
  <si>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</si>
  <si>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</si>
  <si>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</si>
  <si>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</si>
  <si>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</si>
  <si>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</si>
  <si>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</si>
  <si>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</si>
  <si>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</si>
  <si>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</si>
  <si>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</si>
  <si>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</si>
  <si>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</si>
  <si>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</si>
  <si>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</si>
  <si>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</si>
  <si>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</si>
  <si>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</si>
  <si>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</si>
  <si>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</si>
  <si>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</si>
  <si>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</si>
  <si>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</si>
  <si>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</si>
  <si>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</si>
  <si>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</si>
  <si>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</si>
  <si>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</si>
  <si>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</si>
  <si>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</si>
  <si>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</si>
  <si>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</si>
  <si>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</si>
  <si>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</si>
  <si>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</si>
  <si>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</si>
  <si>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U</t>
  </si>
  <si>
    <t>mu_t / mu</t>
  </si>
  <si>
    <t>Rxx</t>
  </si>
  <si>
    <t>Ryy</t>
  </si>
  <si>
    <t>Rzz</t>
  </si>
  <si>
    <t>-Rxy</t>
  </si>
  <si>
    <t>SGS Diss.</t>
  </si>
  <si>
    <t>diricm</t>
  </si>
  <si>
    <t>T</t>
  </si>
  <si>
    <t>T'**2</t>
  </si>
  <si>
    <t>u'T'</t>
  </si>
  <si>
    <t>v'T'</t>
  </si>
  <si>
    <t>w'T'</t>
  </si>
  <si>
    <t>Relative y-Diss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</si>
  <si>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</si>
  <si>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</si>
  <si>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</si>
  <si>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</si>
  <si>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</si>
  <si>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</si>
  <si>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</si>
  <si>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</si>
  <si>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</si>
  <si>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</si>
  <si>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</si>
  <si>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</si>
  <si>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</si>
  <si>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</si>
  <si>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</si>
  <si>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</si>
  <si>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</si>
  <si>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</si>
  <si>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</si>
  <si>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</si>
  <si>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</si>
  <si>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</si>
  <si>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</si>
  <si>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4 passive scalars transported with a Prandtl number of 1</t>
  </si>
  <si>
    <t>diric</t>
  </si>
  <si>
    <t>No fluid-solid coupling, imposed temperature at the fluid boundary.</t>
  </si>
  <si>
    <t>neuma</t>
  </si>
  <si>
    <t>No fluid-solid coupling, imposed heat flux at the fluid boundary.</t>
  </si>
  <si>
    <t>"11"</t>
  </si>
  <si>
    <t>Fluid-solid coupling, imposed heat flux at the outer wall, fluid-solid thermal properties ratios are equal to one.</t>
  </si>
  <si>
    <t>"12"</t>
  </si>
  <si>
    <t>Fluid-solid coupling, imposed heat flux at the outer wall.</t>
  </si>
  <si>
    <t>Fluid-to-solid thermal diffusivity ratio G=5</t>
  </si>
  <si>
    <t>Thermal activity ratio K = 5</t>
  </si>
  <si>
    <t>13m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</si>
</sst>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General</c:formatCode>
                <c:ptCount val="42"/>
                <c:pt idx="0">
                  <c:v>0.49407153462495901</c:v>
                </c:pt>
                <c:pt idx="1">
                  <c:v>1.52322148303442</c:v>
                </c:pt>
                <c:pt idx="2">
                  <c:v>2.63505484491963</c:v>
                </c:pt>
                <c:pt idx="3">
                  <c:v>3.8208375307578</c:v>
                </c:pt>
                <c:pt idx="4">
                  <c:v>5.0581298155120598</c:v>
                </c:pt>
                <c:pt idx="5">
                  <c:v>6.3101583100572398</c:v>
                </c:pt>
                <c:pt idx="6">
                  <c:v>7.5316029219687701</c:v>
                </c:pt>
                <c:pt idx="7">
                  <c:v>8.6796419529975193</c:v>
                </c:pt>
                <c:pt idx="8">
                  <c:v>9.7245131293429505</c:v>
                </c:pt>
                <c:pt idx="9">
                  <c:v>10.6535672981527</c:v>
                </c:pt>
                <c:pt idx="10">
                  <c:v>11.4683315222776</c:v>
                </c:pt>
                <c:pt idx="11">
                  <c:v>12.178623547735</c:v>
                </c:pt>
                <c:pt idx="12">
                  <c:v>12.7974964051306</c:v>
                </c:pt>
                <c:pt idx="13">
                  <c:v>13.3382396972632</c:v>
                </c:pt>
                <c:pt idx="14">
                  <c:v>13.8130475484872</c:v>
                </c:pt>
                <c:pt idx="15">
                  <c:v>14.2326221864434</c:v>
                </c:pt>
                <c:pt idx="16">
                  <c:v>14.606153694889199</c:v>
                </c:pt>
                <c:pt idx="17">
                  <c:v>14.941476662853001</c:v>
                </c:pt>
                <c:pt idx="18">
                  <c:v>15.2453110193904</c:v>
                </c:pt>
                <c:pt idx="19">
                  <c:v>15.5235476252398</c:v>
                </c:pt>
                <c:pt idx="20">
                  <c:v>15.781272782555099</c:v>
                </c:pt>
                <c:pt idx="21">
                  <c:v>16.022810860525201</c:v>
                </c:pt>
                <c:pt idx="22">
                  <c:v>16.252053578292202</c:v>
                </c:pt>
                <c:pt idx="23">
                  <c:v>16.472424838814501</c:v>
                </c:pt>
                <c:pt idx="24">
                  <c:v>16.686703832541799</c:v>
                </c:pt>
                <c:pt idx="25">
                  <c:v>16.897109223015701</c:v>
                </c:pt>
                <c:pt idx="26">
                  <c:v>17.105602854414801</c:v>
                </c:pt>
                <c:pt idx="27">
                  <c:v>17.3137149865114</c:v>
                </c:pt>
                <c:pt idx="28">
                  <c:v>17.522615692585301</c:v>
                </c:pt>
                <c:pt idx="29">
                  <c:v>17.733164944527999</c:v>
                </c:pt>
                <c:pt idx="30">
                  <c:v>17.946215254747401</c:v>
                </c:pt>
                <c:pt idx="31">
                  <c:v>18.1625637223448</c:v>
                </c:pt>
                <c:pt idx="32">
                  <c:v>18.382358471351299</c:v>
                </c:pt>
                <c:pt idx="33">
                  <c:v>18.605460968500399</c:v>
                </c:pt>
                <c:pt idx="34">
                  <c:v>18.8314598765554</c:v>
                </c:pt>
                <c:pt idx="35">
                  <c:v>19.059106264838601</c:v>
                </c:pt>
                <c:pt idx="36">
                  <c:v>19.284674654127599</c:v>
                </c:pt>
                <c:pt idx="37">
                  <c:v>19.5031970283653</c:v>
                </c:pt>
                <c:pt idx="38">
                  <c:v>19.709083037436699</c:v>
                </c:pt>
                <c:pt idx="39">
                  <c:v>19.891339533842</c:v>
                </c:pt>
                <c:pt idx="40">
                  <c:v>20.034197169315899</c:v>
                </c:pt>
                <c:pt idx="41">
                  <c:v>20.108992345423601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2.8338408363914799E-5</c:v>
                </c:pt>
                <c:pt idx="1">
                  <c:v>2.6582998492585803E-4</c:v>
                </c:pt>
                <c:pt idx="2">
                  <c:v>1.05343727861395E-3</c:v>
                </c:pt>
                <c:pt idx="3">
                  <c:v>2.3373021856514199E-3</c:v>
                </c:pt>
                <c:pt idx="4">
                  <c:v>4.4906241962507903E-3</c:v>
                </c:pt>
                <c:pt idx="5">
                  <c:v>8.9801581134452101E-3</c:v>
                </c:pt>
                <c:pt idx="6">
                  <c:v>1.9934394112624401E-2</c:v>
                </c:pt>
                <c:pt idx="7">
                  <c:v>4.3703561397705898E-2</c:v>
                </c:pt>
                <c:pt idx="8">
                  <c:v>8.3639285370736602E-2</c:v>
                </c:pt>
                <c:pt idx="9">
                  <c:v>0.13712833091631099</c:v>
                </c:pt>
                <c:pt idx="10">
                  <c:v>0.19883501684671501</c:v>
                </c:pt>
                <c:pt idx="11">
                  <c:v>0.26468792323430501</c:v>
                </c:pt>
                <c:pt idx="12">
                  <c:v>0.33304551051696701</c:v>
                </c:pt>
                <c:pt idx="13">
                  <c:v>0.40383201473741698</c:v>
                </c:pt>
                <c:pt idx="14">
                  <c:v>0.47730645665433202</c:v>
                </c:pt>
                <c:pt idx="15">
                  <c:v>0.55322507620439798</c:v>
                </c:pt>
                <c:pt idx="16">
                  <c:v>0.63037852750858203</c:v>
                </c:pt>
                <c:pt idx="17">
                  <c:v>0.70656433768453997</c:v>
                </c:pt>
                <c:pt idx="18">
                  <c:v>0.77915052491880399</c:v>
                </c:pt>
                <c:pt idx="19">
                  <c:v>0.84591457703209005</c:v>
                </c:pt>
                <c:pt idx="20">
                  <c:v>0.90496776459622097</c:v>
                </c:pt>
                <c:pt idx="21">
                  <c:v>0.955567914264975</c:v>
                </c:pt>
                <c:pt idx="22">
                  <c:v>0.99819612331339103</c:v>
                </c:pt>
                <c:pt idx="23">
                  <c:v>1.03398250532336</c:v>
                </c:pt>
                <c:pt idx="24">
                  <c:v>1.06427226233063</c:v>
                </c:pt>
                <c:pt idx="25">
                  <c:v>1.0904058691521601</c:v>
                </c:pt>
                <c:pt idx="26">
                  <c:v>1.1133950533694501</c:v>
                </c:pt>
                <c:pt idx="27">
                  <c:v>1.13345552003011</c:v>
                </c:pt>
                <c:pt idx="28">
                  <c:v>1.1503564575395999</c:v>
                </c:pt>
                <c:pt idx="29">
                  <c:v>1.1640313765383301</c:v>
                </c:pt>
                <c:pt idx="30">
                  <c:v>1.1737124122737399</c:v>
                </c:pt>
                <c:pt idx="31">
                  <c:v>1.17910791590111</c:v>
                </c:pt>
                <c:pt idx="32">
                  <c:v>1.17873837071238</c:v>
                </c:pt>
                <c:pt idx="33">
                  <c:v>1.1702522936684501</c:v>
                </c:pt>
                <c:pt idx="34">
                  <c:v>1.15381410976988</c:v>
                </c:pt>
                <c:pt idx="35">
                  <c:v>1.12867352718603</c:v>
                </c:pt>
                <c:pt idx="36">
                  <c:v>1.0921732323768001</c:v>
                </c:pt>
                <c:pt idx="37">
                  <c:v>1.04628365344251</c:v>
                </c:pt>
                <c:pt idx="38">
                  <c:v>0.99009593119262695</c:v>
                </c:pt>
                <c:pt idx="39">
                  <c:v>0.93174715060740698</c:v>
                </c:pt>
                <c:pt idx="40">
                  <c:v>0.88755197130376395</c:v>
                </c:pt>
                <c:pt idx="41">
                  <c:v>0.82010201002412897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3.8298964524997703E-2</c:v>
                </c:pt>
                <c:pt idx="1">
                  <c:v>0.36479003198554599</c:v>
                </c:pt>
                <c:pt idx="2">
                  <c:v>1.08835486287244</c:v>
                </c:pt>
                <c:pt idx="3">
                  <c:v>2.24728768661054</c:v>
                </c:pt>
                <c:pt idx="4">
                  <c:v>3.7752039247032498</c:v>
                </c:pt>
                <c:pt idx="5">
                  <c:v>5.4655295210969701</c:v>
                </c:pt>
                <c:pt idx="6">
                  <c:v>7.0258333232834502</c:v>
                </c:pt>
                <c:pt idx="7">
                  <c:v>8.2039580940157304</c:v>
                </c:pt>
                <c:pt idx="8">
                  <c:v>8.8857392848207901</c:v>
                </c:pt>
                <c:pt idx="9">
                  <c:v>9.0968137884415992</c:v>
                </c:pt>
                <c:pt idx="10">
                  <c:v>8.9406091416529101</c:v>
                </c:pt>
                <c:pt idx="11">
                  <c:v>8.5364107223397703</c:v>
                </c:pt>
                <c:pt idx="12">
                  <c:v>7.9860212860345996</c:v>
                </c:pt>
                <c:pt idx="13">
                  <c:v>7.3648011517302603</c:v>
                </c:pt>
                <c:pt idx="14">
                  <c:v>6.7243664461418202</c:v>
                </c:pt>
                <c:pt idx="15">
                  <c:v>6.0982939970243004</c:v>
                </c:pt>
                <c:pt idx="16">
                  <c:v>5.5073469487696904</c:v>
                </c:pt>
                <c:pt idx="17">
                  <c:v>4.9633589957615998</c:v>
                </c:pt>
                <c:pt idx="18">
                  <c:v>4.47194155727784</c:v>
                </c:pt>
                <c:pt idx="19">
                  <c:v>4.0345780127487201</c:v>
                </c:pt>
                <c:pt idx="20">
                  <c:v>3.65071138787882</c:v>
                </c:pt>
                <c:pt idx="21">
                  <c:v>3.3177327448139899</c:v>
                </c:pt>
                <c:pt idx="22">
                  <c:v>3.0306120489899202</c:v>
                </c:pt>
                <c:pt idx="23">
                  <c:v>2.783587548676</c:v>
                </c:pt>
                <c:pt idx="24">
                  <c:v>2.57048936185888</c:v>
                </c:pt>
                <c:pt idx="25">
                  <c:v>2.3849465182640701</c:v>
                </c:pt>
                <c:pt idx="26">
                  <c:v>2.2212201881389202</c:v>
                </c:pt>
                <c:pt idx="27">
                  <c:v>2.0748374600585602</c:v>
                </c:pt>
                <c:pt idx="28">
                  <c:v>1.9414602752736101</c:v>
                </c:pt>
                <c:pt idx="29">
                  <c:v>1.81775095564387</c:v>
                </c:pt>
                <c:pt idx="30">
                  <c:v>1.70097479012449</c:v>
                </c:pt>
                <c:pt idx="31">
                  <c:v>1.5886114030488401</c:v>
                </c:pt>
                <c:pt idx="32">
                  <c:v>1.4780636152397999</c:v>
                </c:pt>
                <c:pt idx="33">
                  <c:v>1.3674969242411401</c:v>
                </c:pt>
                <c:pt idx="34">
                  <c:v>1.2556120706662499</c:v>
                </c:pt>
                <c:pt idx="35">
                  <c:v>1.14076804927538</c:v>
                </c:pt>
                <c:pt idx="36">
                  <c:v>1.02363949555599</c:v>
                </c:pt>
                <c:pt idx="37">
                  <c:v>0.90121164845336998</c:v>
                </c:pt>
                <c:pt idx="38">
                  <c:v>0.77483683024466599</c:v>
                </c:pt>
                <c:pt idx="39">
                  <c:v>0.652838546962621</c:v>
                </c:pt>
                <c:pt idx="40">
                  <c:v>0.54982289878193003</c:v>
                </c:pt>
                <c:pt idx="41">
                  <c:v>0.49304538266137499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5.17545571885317E-6</c:v>
                </c:pt>
                <c:pt idx="1">
                  <c:v>1.09740045074735E-4</c:v>
                </c:pt>
                <c:pt idx="2">
                  <c:v>8.1456463042781297E-4</c:v>
                </c:pt>
                <c:pt idx="3">
                  <c:v>2.98797640019697E-3</c:v>
                </c:pt>
                <c:pt idx="4">
                  <c:v>7.7843244110470397E-3</c:v>
                </c:pt>
                <c:pt idx="5">
                  <c:v>1.6484242997712301E-2</c:v>
                </c:pt>
                <c:pt idx="6">
                  <c:v>3.0317404354500001E-2</c:v>
                </c:pt>
                <c:pt idx="7">
                  <c:v>5.0313029943734697E-2</c:v>
                </c:pt>
                <c:pt idx="8">
                  <c:v>7.7290025800676898E-2</c:v>
                </c:pt>
                <c:pt idx="9">
                  <c:v>0.111873913539964</c:v>
                </c:pt>
                <c:pt idx="10">
                  <c:v>0.15439018245768599</c:v>
                </c:pt>
                <c:pt idx="11">
                  <c:v>0.204749209852713</c:v>
                </c:pt>
                <c:pt idx="12">
                  <c:v>0.262400644988181</c:v>
                </c:pt>
                <c:pt idx="13">
                  <c:v>0.32633108340380101</c:v>
                </c:pt>
                <c:pt idx="14">
                  <c:v>0.395085742325199</c:v>
                </c:pt>
                <c:pt idx="15">
                  <c:v>0.46681177427160703</c:v>
                </c:pt>
                <c:pt idx="16">
                  <c:v>0.53933408447481701</c:v>
                </c:pt>
                <c:pt idx="17">
                  <c:v>0.61027559684142396</c:v>
                </c:pt>
                <c:pt idx="18">
                  <c:v>0.67721852644055502</c:v>
                </c:pt>
                <c:pt idx="19">
                  <c:v>0.73789493705109699</c:v>
                </c:pt>
                <c:pt idx="20">
                  <c:v>0.79038187566231299</c:v>
                </c:pt>
                <c:pt idx="21">
                  <c:v>0.83332248025466704</c:v>
                </c:pt>
                <c:pt idx="22">
                  <c:v>0.86606250697045195</c:v>
                </c:pt>
                <c:pt idx="23">
                  <c:v>0.88859719280126004</c:v>
                </c:pt>
                <c:pt idx="24">
                  <c:v>0.90151246220298398</c:v>
                </c:pt>
                <c:pt idx="25">
                  <c:v>0.90570026292157102</c:v>
                </c:pt>
                <c:pt idx="26">
                  <c:v>0.90238959996967105</c:v>
                </c:pt>
                <c:pt idx="27">
                  <c:v>0.89249943628153305</c:v>
                </c:pt>
                <c:pt idx="28">
                  <c:v>0.87667977366050198</c:v>
                </c:pt>
                <c:pt idx="29">
                  <c:v>0.855382055997021</c:v>
                </c:pt>
                <c:pt idx="30">
                  <c:v>0.82886854644141905</c:v>
                </c:pt>
                <c:pt idx="31">
                  <c:v>0.79720220601105796</c:v>
                </c:pt>
                <c:pt idx="32">
                  <c:v>0.76032587860507195</c:v>
                </c:pt>
                <c:pt idx="33">
                  <c:v>0.71790816302924099</c:v>
                </c:pt>
                <c:pt idx="34">
                  <c:v>0.67019197271224995</c:v>
                </c:pt>
                <c:pt idx="35">
                  <c:v>0.61827942314594198</c:v>
                </c:pt>
                <c:pt idx="36">
                  <c:v>0.56271453919664205</c:v>
                </c:pt>
                <c:pt idx="37">
                  <c:v>0.50563055325399098</c:v>
                </c:pt>
                <c:pt idx="38">
                  <c:v>0.44797188057840698</c:v>
                </c:pt>
                <c:pt idx="39">
                  <c:v>0.39470165035049398</c:v>
                </c:pt>
                <c:pt idx="40">
                  <c:v>0.35126078103154301</c:v>
                </c:pt>
                <c:pt idx="41">
                  <c:v>0.32687741535232101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1.04314256374766E-2</c:v>
                </c:pt>
                <c:pt idx="1">
                  <c:v>7.7520189809400203E-2</c:v>
                </c:pt>
                <c:pt idx="2">
                  <c:v>0.188642706213758</c:v>
                </c:pt>
                <c:pt idx="3">
                  <c:v>0.32351331739987099</c:v>
                </c:pt>
                <c:pt idx="4">
                  <c:v>0.465158898721866</c:v>
                </c:pt>
                <c:pt idx="5">
                  <c:v>0.60236334681570303</c:v>
                </c:pt>
                <c:pt idx="6">
                  <c:v>0.72981099545675698</c:v>
                </c:pt>
                <c:pt idx="7">
                  <c:v>0.845665370005654</c:v>
                </c:pt>
                <c:pt idx="8">
                  <c:v>0.949129299141515</c:v>
                </c:pt>
                <c:pt idx="9">
                  <c:v>1.0396353894880199</c:v>
                </c:pt>
                <c:pt idx="10">
                  <c:v>1.1170155217328701</c:v>
                </c:pt>
                <c:pt idx="11">
                  <c:v>1.18168363107531</c:v>
                </c:pt>
                <c:pt idx="12">
                  <c:v>1.2345363538476699</c:v>
                </c:pt>
                <c:pt idx="13">
                  <c:v>1.27670029038189</c:v>
                </c:pt>
                <c:pt idx="14">
                  <c:v>1.3093578575146501</c:v>
                </c:pt>
                <c:pt idx="15">
                  <c:v>1.3337245154534501</c:v>
                </c:pt>
                <c:pt idx="16">
                  <c:v>1.35095335876447</c:v>
                </c:pt>
                <c:pt idx="17">
                  <c:v>1.3621153201189</c:v>
                </c:pt>
                <c:pt idx="18">
                  <c:v>1.3682127150980901</c:v>
                </c:pt>
                <c:pt idx="19">
                  <c:v>1.3700692464681701</c:v>
                </c:pt>
                <c:pt idx="20">
                  <c:v>1.3680153479372901</c:v>
                </c:pt>
                <c:pt idx="21">
                  <c:v>1.3616178834285499</c:v>
                </c:pt>
                <c:pt idx="22">
                  <c:v>1.35035336854938</c:v>
                </c:pt>
                <c:pt idx="23">
                  <c:v>1.3339099750932399</c:v>
                </c:pt>
                <c:pt idx="24">
                  <c:v>1.3121232304261199</c:v>
                </c:pt>
                <c:pt idx="25">
                  <c:v>1.28510476755752</c:v>
                </c:pt>
                <c:pt idx="26">
                  <c:v>1.25261107768271</c:v>
                </c:pt>
                <c:pt idx="27">
                  <c:v>1.21478341376972</c:v>
                </c:pt>
                <c:pt idx="28">
                  <c:v>1.1722359806368501</c:v>
                </c:pt>
                <c:pt idx="29">
                  <c:v>1.12520529142022</c:v>
                </c:pt>
                <c:pt idx="30">
                  <c:v>1.0729253948306401</c:v>
                </c:pt>
                <c:pt idx="31">
                  <c:v>1.01520651475193</c:v>
                </c:pt>
                <c:pt idx="32">
                  <c:v>0.95288574991137298</c:v>
                </c:pt>
                <c:pt idx="33">
                  <c:v>0.88529129285776598</c:v>
                </c:pt>
                <c:pt idx="34">
                  <c:v>0.81171635779692497</c:v>
                </c:pt>
                <c:pt idx="35">
                  <c:v>0.73233851563597296</c:v>
                </c:pt>
                <c:pt idx="36">
                  <c:v>0.64873305698304196</c:v>
                </c:pt>
                <c:pt idx="37">
                  <c:v>0.56447346610541305</c:v>
                </c:pt>
                <c:pt idx="38">
                  <c:v>0.483007342446645</c:v>
                </c:pt>
                <c:pt idx="39">
                  <c:v>0.40862954278144198</c:v>
                </c:pt>
                <c:pt idx="40">
                  <c:v>0.35068174061123802</c:v>
                </c:pt>
                <c:pt idx="41">
                  <c:v>0.31962785608202698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1.09487835145545E-4</c:v>
                </c:pt>
                <c:pt idx="1">
                  <c:v>2.28752926783577E-3</c:v>
                </c:pt>
                <c:pt idx="2">
                  <c:v>1.2754127152502501E-2</c:v>
                </c:pt>
                <c:pt idx="3">
                  <c:v>3.9148798718110299E-2</c:v>
                </c:pt>
                <c:pt idx="4">
                  <c:v>8.8286835420295501E-2</c:v>
                </c:pt>
                <c:pt idx="5">
                  <c:v>0.162061974980933</c:v>
                </c:pt>
                <c:pt idx="6">
                  <c:v>0.25503338731486602</c:v>
                </c:pt>
                <c:pt idx="7">
                  <c:v>0.35618186177856798</c:v>
                </c:pt>
                <c:pt idx="8">
                  <c:v>0.453990313808871</c:v>
                </c:pt>
                <c:pt idx="9">
                  <c:v>0.54065057255591498</c:v>
                </c:pt>
                <c:pt idx="10">
                  <c:v>0.61290358672919498</c:v>
                </c:pt>
                <c:pt idx="11">
                  <c:v>0.67071069409641904</c:v>
                </c:pt>
                <c:pt idx="12">
                  <c:v>0.71561923980234099</c:v>
                </c:pt>
                <c:pt idx="13">
                  <c:v>0.74964922315396398</c:v>
                </c:pt>
                <c:pt idx="14">
                  <c:v>0.77473330923385197</c:v>
                </c:pt>
                <c:pt idx="15">
                  <c:v>0.79250751700731004</c:v>
                </c:pt>
                <c:pt idx="16">
                  <c:v>0.80429402783892101</c:v>
                </c:pt>
                <c:pt idx="17">
                  <c:v>0.81109962263041102</c:v>
                </c:pt>
                <c:pt idx="18">
                  <c:v>0.81364649253127497</c:v>
                </c:pt>
                <c:pt idx="19">
                  <c:v>0.81245648464994702</c:v>
                </c:pt>
                <c:pt idx="20">
                  <c:v>0.80799786225029901</c:v>
                </c:pt>
                <c:pt idx="21">
                  <c:v>0.80056890873372999</c:v>
                </c:pt>
                <c:pt idx="22">
                  <c:v>0.79039936483380202</c:v>
                </c:pt>
                <c:pt idx="23">
                  <c:v>0.77775603344323396</c:v>
                </c:pt>
                <c:pt idx="24">
                  <c:v>0.762748687021372</c:v>
                </c:pt>
                <c:pt idx="25">
                  <c:v>0.74543165363284203</c:v>
                </c:pt>
                <c:pt idx="26">
                  <c:v>0.72579510957280802</c:v>
                </c:pt>
                <c:pt idx="27">
                  <c:v>0.70380869066268303</c:v>
                </c:pt>
                <c:pt idx="28">
                  <c:v>0.67940132388641805</c:v>
                </c:pt>
                <c:pt idx="29">
                  <c:v>0.65242245352519102</c:v>
                </c:pt>
                <c:pt idx="30">
                  <c:v>0.62261424453804903</c:v>
                </c:pt>
                <c:pt idx="31">
                  <c:v>0.58986443132843103</c:v>
                </c:pt>
                <c:pt idx="32">
                  <c:v>0.55396117165530101</c:v>
                </c:pt>
                <c:pt idx="33">
                  <c:v>0.514653365669276</c:v>
                </c:pt>
                <c:pt idx="34">
                  <c:v>0.47159193694963297</c:v>
                </c:pt>
                <c:pt idx="35">
                  <c:v>0.42450189618295803</c:v>
                </c:pt>
                <c:pt idx="36">
                  <c:v>0.37308827174713399</c:v>
                </c:pt>
                <c:pt idx="37">
                  <c:v>0.31693411435165703</c:v>
                </c:pt>
                <c:pt idx="38">
                  <c:v>0.25540012035659299</c:v>
                </c:pt>
                <c:pt idx="39">
                  <c:v>0.188355846590332</c:v>
                </c:pt>
                <c:pt idx="40">
                  <c:v>0.11430673171611599</c:v>
                </c:pt>
                <c:pt idx="41">
                  <c:v>3.77371458220968E-2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Diss.!$D$2:$D$87</c:f>
              <c:numCache>
                <c:formatCode>General</c:formatCode>
                <c:ptCount val="86"/>
                <c:pt idx="0">
                  <c:v>-0.19242551085043805</c:v>
                </c:pt>
                <c:pt idx="1">
                  <c:v>-0.1806182288585281</c:v>
                </c:pt>
                <c:pt idx="2">
                  <c:v>-0.16875852835624203</c:v>
                </c:pt>
                <c:pt idx="3">
                  <c:v>-0.1534561083613212</c:v>
                </c:pt>
                <c:pt idx="4">
                  <c:v>-0.1353915587702571</c:v>
                </c:pt>
                <c:pt idx="5">
                  <c:v>-0.11962734766907819</c:v>
                </c:pt>
                <c:pt idx="6">
                  <c:v>-0.11156688469632578</c:v>
                </c:pt>
                <c:pt idx="7">
                  <c:v>-0.11156345242936991</c:v>
                </c:pt>
                <c:pt idx="8">
                  <c:v>-0.11430801826374873</c:v>
                </c:pt>
                <c:pt idx="9">
                  <c:v>-0.11437167741125802</c:v>
                </c:pt>
                <c:pt idx="10">
                  <c:v>-0.11014616675303926</c:v>
                </c:pt>
                <c:pt idx="11">
                  <c:v>-0.10281969692769116</c:v>
                </c:pt>
                <c:pt idx="12">
                  <c:v>-9.4169891851443241E-2</c:v>
                </c:pt>
                <c:pt idx="13">
                  <c:v>-8.5496422366439589E-2</c:v>
                </c:pt>
                <c:pt idx="14">
                  <c:v>-7.7481957672826632E-2</c:v>
                </c:pt>
                <c:pt idx="15">
                  <c:v>-7.0366359079190907E-2</c:v>
                </c:pt>
                <c:pt idx="16">
                  <c:v>-6.4135594033713855E-2</c:v>
                </c:pt>
                <c:pt idx="17">
                  <c:v>-5.8642903246668328E-2</c:v>
                </c:pt>
                <c:pt idx="18">
                  <c:v>-5.3712686832805057E-2</c:v>
                </c:pt>
                <c:pt idx="19">
                  <c:v>-4.918992121219086E-2</c:v>
                </c:pt>
                <c:pt idx="20">
                  <c:v>-4.4943112205970352E-2</c:v>
                </c:pt>
                <c:pt idx="21">
                  <c:v>-4.0917770215070003E-2</c:v>
                </c:pt>
                <c:pt idx="22">
                  <c:v>-3.7113712879461191E-2</c:v>
                </c:pt>
                <c:pt idx="23">
                  <c:v>-3.3529365700487167E-2</c:v>
                </c:pt>
                <c:pt idx="24">
                  <c:v>-3.0176603137719429E-2</c:v>
                </c:pt>
                <c:pt idx="25">
                  <c:v>-2.7057031068916399E-2</c:v>
                </c:pt>
                <c:pt idx="26">
                  <c:v>-2.4195644954218661E-2</c:v>
                </c:pt>
                <c:pt idx="27">
                  <c:v>-2.157789692572416E-2</c:v>
                </c:pt>
                <c:pt idx="28">
                  <c:v>-1.9173419221944911E-2</c:v>
                </c:pt>
                <c:pt idx="29">
                  <c:v>-1.6965901595590228E-2</c:v>
                </c:pt>
                <c:pt idx="30">
                  <c:v>-1.493508671070987E-2</c:v>
                </c:pt>
                <c:pt idx="31">
                  <c:v>-1.3060327057361289E-2</c:v>
                </c:pt>
                <c:pt idx="32">
                  <c:v>-1.1315893621949531E-2</c:v>
                </c:pt>
                <c:pt idx="33">
                  <c:v>-9.6763252820632004E-3</c:v>
                </c:pt>
                <c:pt idx="34">
                  <c:v>-8.15741949632421E-3</c:v>
                </c:pt>
                <c:pt idx="35">
                  <c:v>-6.7594202247797299E-3</c:v>
                </c:pt>
                <c:pt idx="36">
                  <c:v>-5.4706773208703869E-3</c:v>
                </c:pt>
                <c:pt idx="37">
                  <c:v>-4.3186686405293937E-3</c:v>
                </c:pt>
                <c:pt idx="38">
                  <c:v>-3.3220263333916039E-3</c:v>
                </c:pt>
                <c:pt idx="39">
                  <c:v>-2.5191351825199527E-3</c:v>
                </c:pt>
                <c:pt idx="40">
                  <c:v>-1.967214370554944E-3</c:v>
                </c:pt>
                <c:pt idx="41">
                  <c:v>-1.6621365986949071E-3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D3-4031-9E36-FFAE0E46FB1C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DNS!$B$1636:$B$1875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158.90799999999999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DNS!$D$1636:$D$1875</c:f>
              <c:numCache>
                <c:formatCode>0.00E+00</c:formatCode>
                <c:ptCount val="240"/>
                <c:pt idx="0">
                  <c:v>-0.220577</c:v>
                </c:pt>
                <c:pt idx="1">
                  <c:v>-0.213197</c:v>
                </c:pt>
                <c:pt idx="2">
                  <c:v>-0.207454</c:v>
                </c:pt>
                <c:pt idx="3">
                  <c:v>-0.202458</c:v>
                </c:pt>
                <c:pt idx="4">
                  <c:v>-0.198016</c:v>
                </c:pt>
                <c:pt idx="5">
                  <c:v>-0.193937</c:v>
                </c:pt>
                <c:pt idx="6">
                  <c:v>-0.19004799999999999</c:v>
                </c:pt>
                <c:pt idx="7">
                  <c:v>-0.18618999999999999</c:v>
                </c:pt>
                <c:pt idx="8">
                  <c:v>-0.182231</c:v>
                </c:pt>
                <c:pt idx="9">
                  <c:v>-0.17807899999999999</c:v>
                </c:pt>
                <c:pt idx="10">
                  <c:v>-0.17369100000000001</c:v>
                </c:pt>
                <c:pt idx="11">
                  <c:v>-0.16908000000000001</c:v>
                </c:pt>
                <c:pt idx="12">
                  <c:v>-0.16431299999999999</c:v>
                </c:pt>
                <c:pt idx="13">
                  <c:v>-0.15950400000000001</c:v>
                </c:pt>
                <c:pt idx="14">
                  <c:v>-0.15480099999999999</c:v>
                </c:pt>
                <c:pt idx="15">
                  <c:v>-0.150363</c:v>
                </c:pt>
                <c:pt idx="16">
                  <c:v>-0.146342</c:v>
                </c:pt>
                <c:pt idx="17">
                  <c:v>-0.14286299999999999</c:v>
                </c:pt>
                <c:pt idx="18">
                  <c:v>-0.14001</c:v>
                </c:pt>
                <c:pt idx="19">
                  <c:v>-0.137818</c:v>
                </c:pt>
                <c:pt idx="20">
                  <c:v>-0.136269</c:v>
                </c:pt>
                <c:pt idx="21">
                  <c:v>-0.135299</c:v>
                </c:pt>
                <c:pt idx="22">
                  <c:v>-0.13481299999999999</c:v>
                </c:pt>
                <c:pt idx="23">
                  <c:v>-0.134686</c:v>
                </c:pt>
                <c:pt idx="24">
                  <c:v>-0.13478799999999999</c:v>
                </c:pt>
                <c:pt idx="25">
                  <c:v>-0.134988</c:v>
                </c:pt>
                <c:pt idx="26">
                  <c:v>-0.13516800000000001</c:v>
                </c:pt>
                <c:pt idx="27">
                  <c:v>-0.13522899999999999</c:v>
                </c:pt>
                <c:pt idx="28">
                  <c:v>-0.13509399999999999</c:v>
                </c:pt>
                <c:pt idx="29">
                  <c:v>-0.134711</c:v>
                </c:pt>
                <c:pt idx="30">
                  <c:v>-0.134049</c:v>
                </c:pt>
                <c:pt idx="31">
                  <c:v>-0.13309699999999999</c:v>
                </c:pt>
                <c:pt idx="32">
                  <c:v>-0.131855</c:v>
                </c:pt>
                <c:pt idx="33">
                  <c:v>-0.13034000000000001</c:v>
                </c:pt>
                <c:pt idx="34">
                  <c:v>-0.12857399999999999</c:v>
                </c:pt>
                <c:pt idx="35">
                  <c:v>-0.12658</c:v>
                </c:pt>
                <c:pt idx="36">
                  <c:v>-0.124388</c:v>
                </c:pt>
                <c:pt idx="37">
                  <c:v>-0.12202300000000001</c:v>
                </c:pt>
                <c:pt idx="38">
                  <c:v>-0.11951100000000001</c:v>
                </c:pt>
                <c:pt idx="39">
                  <c:v>-0.116878</c:v>
                </c:pt>
                <c:pt idx="40">
                  <c:v>-0.114146</c:v>
                </c:pt>
                <c:pt idx="41">
                  <c:v>-0.111336</c:v>
                </c:pt>
                <c:pt idx="42">
                  <c:v>-0.10846500000000001</c:v>
                </c:pt>
                <c:pt idx="43">
                  <c:v>-0.10555299999999999</c:v>
                </c:pt>
                <c:pt idx="44">
                  <c:v>-0.102615</c:v>
                </c:pt>
                <c:pt idx="45">
                  <c:v>-9.9667199999999997E-2</c:v>
                </c:pt>
                <c:pt idx="46">
                  <c:v>-9.6719799999999995E-2</c:v>
                </c:pt>
                <c:pt idx="47">
                  <c:v>-9.3784400000000004E-2</c:v>
                </c:pt>
                <c:pt idx="48">
                  <c:v>-9.0869599999999995E-2</c:v>
                </c:pt>
                <c:pt idx="49">
                  <c:v>-8.7984000000000007E-2</c:v>
                </c:pt>
                <c:pt idx="50">
                  <c:v>-8.5135299999999997E-2</c:v>
                </c:pt>
                <c:pt idx="51">
                  <c:v>-8.2330200000000006E-2</c:v>
                </c:pt>
                <c:pt idx="52">
                  <c:v>-7.9575199999999999E-2</c:v>
                </c:pt>
                <c:pt idx="53">
                  <c:v>-7.6875799999999994E-2</c:v>
                </c:pt>
                <c:pt idx="54">
                  <c:v>-7.4236700000000003E-2</c:v>
                </c:pt>
                <c:pt idx="55">
                  <c:v>-7.1662299999999998E-2</c:v>
                </c:pt>
                <c:pt idx="56">
                  <c:v>-6.9158499999999998E-2</c:v>
                </c:pt>
                <c:pt idx="57">
                  <c:v>-6.6732700000000006E-2</c:v>
                </c:pt>
                <c:pt idx="58">
                  <c:v>-6.4393199999999998E-2</c:v>
                </c:pt>
                <c:pt idx="59">
                  <c:v>-6.2145300000000001E-2</c:v>
                </c:pt>
                <c:pt idx="60">
                  <c:v>-5.99897E-2</c:v>
                </c:pt>
                <c:pt idx="61">
                  <c:v>-5.7923099999999998E-2</c:v>
                </c:pt>
                <c:pt idx="62">
                  <c:v>-5.59406E-2</c:v>
                </c:pt>
                <c:pt idx="63">
                  <c:v>-5.4037700000000001E-2</c:v>
                </c:pt>
                <c:pt idx="64">
                  <c:v>-5.2211300000000002E-2</c:v>
                </c:pt>
                <c:pt idx="65">
                  <c:v>-5.0459799999999999E-2</c:v>
                </c:pt>
                <c:pt idx="66">
                  <c:v>-4.8781999999999999E-2</c:v>
                </c:pt>
                <c:pt idx="67">
                  <c:v>-4.7176200000000001E-2</c:v>
                </c:pt>
                <c:pt idx="68">
                  <c:v>-4.5640399999999998E-2</c:v>
                </c:pt>
                <c:pt idx="69">
                  <c:v>-4.4172900000000001E-2</c:v>
                </c:pt>
                <c:pt idx="70">
                  <c:v>-4.2771499999999997E-2</c:v>
                </c:pt>
                <c:pt idx="71">
                  <c:v>-4.1434600000000002E-2</c:v>
                </c:pt>
                <c:pt idx="72">
                  <c:v>-4.0159899999999998E-2</c:v>
                </c:pt>
                <c:pt idx="73">
                  <c:v>-3.8943800000000001E-2</c:v>
                </c:pt>
                <c:pt idx="74">
                  <c:v>-3.7782200000000002E-2</c:v>
                </c:pt>
                <c:pt idx="75">
                  <c:v>-3.6671599999999999E-2</c:v>
                </c:pt>
                <c:pt idx="76">
                  <c:v>-3.5608599999999997E-2</c:v>
                </c:pt>
                <c:pt idx="77">
                  <c:v>-3.4590099999999999E-2</c:v>
                </c:pt>
                <c:pt idx="78">
                  <c:v>-3.3613200000000003E-2</c:v>
                </c:pt>
                <c:pt idx="79">
                  <c:v>-3.2675500000000003E-2</c:v>
                </c:pt>
                <c:pt idx="80">
                  <c:v>-3.1775299999999999E-2</c:v>
                </c:pt>
                <c:pt idx="81">
                  <c:v>-3.0910900000000002E-2</c:v>
                </c:pt>
                <c:pt idx="82">
                  <c:v>-3.0081299999999998E-2</c:v>
                </c:pt>
                <c:pt idx="83">
                  <c:v>-2.9286199999999998E-2</c:v>
                </c:pt>
                <c:pt idx="84">
                  <c:v>-2.8526099999999999E-2</c:v>
                </c:pt>
                <c:pt idx="85">
                  <c:v>-2.7800499999999999E-2</c:v>
                </c:pt>
                <c:pt idx="86">
                  <c:v>-2.7106999999999999E-2</c:v>
                </c:pt>
                <c:pt idx="87">
                  <c:v>-2.6442299999999998E-2</c:v>
                </c:pt>
                <c:pt idx="88">
                  <c:v>-2.58024E-2</c:v>
                </c:pt>
                <c:pt idx="89">
                  <c:v>-2.5184600000000001E-2</c:v>
                </c:pt>
                <c:pt idx="90">
                  <c:v>-2.45889E-2</c:v>
                </c:pt>
                <c:pt idx="91">
                  <c:v>-2.4015999999999999E-2</c:v>
                </c:pt>
                <c:pt idx="92">
                  <c:v>-2.3464700000000002E-2</c:v>
                </c:pt>
                <c:pt idx="93">
                  <c:v>-2.2932399999999999E-2</c:v>
                </c:pt>
                <c:pt idx="94">
                  <c:v>-2.2416700000000001E-2</c:v>
                </c:pt>
                <c:pt idx="95">
                  <c:v>-2.19162E-2</c:v>
                </c:pt>
                <c:pt idx="96">
                  <c:v>-2.1430500000000002E-2</c:v>
                </c:pt>
                <c:pt idx="97">
                  <c:v>-2.0959800000000001E-2</c:v>
                </c:pt>
                <c:pt idx="98">
                  <c:v>-2.05049E-2</c:v>
                </c:pt>
                <c:pt idx="99">
                  <c:v>-2.00672E-2</c:v>
                </c:pt>
                <c:pt idx="100">
                  <c:v>-1.96461E-2</c:v>
                </c:pt>
                <c:pt idx="101">
                  <c:v>-1.9239900000000001E-2</c:v>
                </c:pt>
                <c:pt idx="102">
                  <c:v>-1.8846999999999999E-2</c:v>
                </c:pt>
                <c:pt idx="103">
                  <c:v>-1.8464999999999999E-2</c:v>
                </c:pt>
                <c:pt idx="104">
                  <c:v>-1.8092E-2</c:v>
                </c:pt>
                <c:pt idx="105">
                  <c:v>-1.7727199999999999E-2</c:v>
                </c:pt>
                <c:pt idx="106">
                  <c:v>-1.7370400000000001E-2</c:v>
                </c:pt>
                <c:pt idx="107">
                  <c:v>-1.70218E-2</c:v>
                </c:pt>
                <c:pt idx="108">
                  <c:v>-1.6681999999999999E-2</c:v>
                </c:pt>
                <c:pt idx="109">
                  <c:v>-1.6350900000000002E-2</c:v>
                </c:pt>
                <c:pt idx="110">
                  <c:v>-1.6028299999999999E-2</c:v>
                </c:pt>
                <c:pt idx="111">
                  <c:v>-1.57144E-2</c:v>
                </c:pt>
                <c:pt idx="112">
                  <c:v>-1.5409600000000001E-2</c:v>
                </c:pt>
                <c:pt idx="113">
                  <c:v>-1.51136E-2</c:v>
                </c:pt>
                <c:pt idx="114">
                  <c:v>-1.4826000000000001E-2</c:v>
                </c:pt>
                <c:pt idx="115">
                  <c:v>-1.4546E-2</c:v>
                </c:pt>
                <c:pt idx="116">
                  <c:v>-1.4272399999999999E-2</c:v>
                </c:pt>
                <c:pt idx="117">
                  <c:v>-1.4005E-2</c:v>
                </c:pt>
                <c:pt idx="118">
                  <c:v>-1.37445E-2</c:v>
                </c:pt>
                <c:pt idx="119">
                  <c:v>-1.3491700000000001E-2</c:v>
                </c:pt>
                <c:pt idx="120">
                  <c:v>-1.32467E-2</c:v>
                </c:pt>
                <c:pt idx="121">
                  <c:v>-1.3007899999999999E-2</c:v>
                </c:pt>
                <c:pt idx="122">
                  <c:v>-1.2774300000000001E-2</c:v>
                </c:pt>
                <c:pt idx="123">
                  <c:v>-1.25454E-2</c:v>
                </c:pt>
                <c:pt idx="124">
                  <c:v>-1.23211E-2</c:v>
                </c:pt>
                <c:pt idx="125">
                  <c:v>-1.21014E-2</c:v>
                </c:pt>
                <c:pt idx="126">
                  <c:v>-1.1886799999999999E-2</c:v>
                </c:pt>
                <c:pt idx="127">
                  <c:v>-1.16779E-2</c:v>
                </c:pt>
                <c:pt idx="128">
                  <c:v>-1.1474399999999999E-2</c:v>
                </c:pt>
                <c:pt idx="129">
                  <c:v>-1.12753E-2</c:v>
                </c:pt>
                <c:pt idx="130">
                  <c:v>-1.108E-2</c:v>
                </c:pt>
                <c:pt idx="131">
                  <c:v>-1.08875E-2</c:v>
                </c:pt>
                <c:pt idx="132">
                  <c:v>-1.06972E-2</c:v>
                </c:pt>
                <c:pt idx="133">
                  <c:v>-1.0508999999999999E-2</c:v>
                </c:pt>
                <c:pt idx="134">
                  <c:v>-1.0323499999999999E-2</c:v>
                </c:pt>
                <c:pt idx="135">
                  <c:v>-1.0141300000000001E-2</c:v>
                </c:pt>
                <c:pt idx="136">
                  <c:v>-9.9628300000000006E-3</c:v>
                </c:pt>
                <c:pt idx="137">
                  <c:v>-9.7885300000000001E-3</c:v>
                </c:pt>
                <c:pt idx="138">
                  <c:v>-9.6186699999999993E-3</c:v>
                </c:pt>
                <c:pt idx="139">
                  <c:v>-9.4533299999999994E-3</c:v>
                </c:pt>
                <c:pt idx="140">
                  <c:v>-9.2925799999999999E-3</c:v>
                </c:pt>
                <c:pt idx="141">
                  <c:v>-9.1363699999999996E-3</c:v>
                </c:pt>
                <c:pt idx="142">
                  <c:v>-8.9840600000000003E-3</c:v>
                </c:pt>
                <c:pt idx="143">
                  <c:v>-8.8344400000000007E-3</c:v>
                </c:pt>
                <c:pt idx="144">
                  <c:v>-8.6868399999999995E-3</c:v>
                </c:pt>
                <c:pt idx="145">
                  <c:v>-8.5414900000000005E-3</c:v>
                </c:pt>
                <c:pt idx="146">
                  <c:v>-8.3988599999999993E-3</c:v>
                </c:pt>
                <c:pt idx="147">
                  <c:v>-8.2590300000000005E-3</c:v>
                </c:pt>
                <c:pt idx="148">
                  <c:v>-8.12183E-3</c:v>
                </c:pt>
                <c:pt idx="149">
                  <c:v>-7.9869399999999997E-3</c:v>
                </c:pt>
                <c:pt idx="150">
                  <c:v>-7.8539600000000001E-3</c:v>
                </c:pt>
                <c:pt idx="151">
                  <c:v>-7.7226300000000003E-3</c:v>
                </c:pt>
                <c:pt idx="152">
                  <c:v>-7.59299E-3</c:v>
                </c:pt>
                <c:pt idx="153">
                  <c:v>-7.4653599999999999E-3</c:v>
                </c:pt>
                <c:pt idx="154">
                  <c:v>-7.3401300000000003E-3</c:v>
                </c:pt>
                <c:pt idx="155">
                  <c:v>-7.2178800000000003E-3</c:v>
                </c:pt>
                <c:pt idx="156">
                  <c:v>-7.0990300000000001E-3</c:v>
                </c:pt>
                <c:pt idx="157">
                  <c:v>-6.9835100000000001E-3</c:v>
                </c:pt>
                <c:pt idx="158">
                  <c:v>-6.8707999999999998E-3</c:v>
                </c:pt>
                <c:pt idx="159">
                  <c:v>-6.76035E-3</c:v>
                </c:pt>
                <c:pt idx="160">
                  <c:v>-6.6519700000000001E-3</c:v>
                </c:pt>
                <c:pt idx="161">
                  <c:v>-6.5458000000000001E-3</c:v>
                </c:pt>
                <c:pt idx="162">
                  <c:v>-6.4419000000000004E-3</c:v>
                </c:pt>
                <c:pt idx="163">
                  <c:v>-6.3401899999999999E-3</c:v>
                </c:pt>
                <c:pt idx="164">
                  <c:v>-6.2404599999999998E-3</c:v>
                </c:pt>
                <c:pt idx="165">
                  <c:v>-6.1425200000000003E-3</c:v>
                </c:pt>
                <c:pt idx="166">
                  <c:v>-6.0460399999999999E-3</c:v>
                </c:pt>
                <c:pt idx="167">
                  <c:v>-5.9509100000000002E-3</c:v>
                </c:pt>
                <c:pt idx="168">
                  <c:v>-5.8572700000000004E-3</c:v>
                </c:pt>
                <c:pt idx="169">
                  <c:v>-5.7652900000000002E-3</c:v>
                </c:pt>
                <c:pt idx="170">
                  <c:v>-5.6750200000000002E-3</c:v>
                </c:pt>
                <c:pt idx="171">
                  <c:v>-5.5864699999999996E-3</c:v>
                </c:pt>
                <c:pt idx="172">
                  <c:v>-5.4996999999999997E-3</c:v>
                </c:pt>
                <c:pt idx="173">
                  <c:v>-5.4147099999999997E-3</c:v>
                </c:pt>
                <c:pt idx="174">
                  <c:v>-5.3314199999999999E-3</c:v>
                </c:pt>
                <c:pt idx="175">
                  <c:v>-5.2496799999999996E-3</c:v>
                </c:pt>
                <c:pt idx="176">
                  <c:v>-5.1693800000000003E-3</c:v>
                </c:pt>
                <c:pt idx="177">
                  <c:v>-5.0906299999999996E-3</c:v>
                </c:pt>
                <c:pt idx="178">
                  <c:v>-5.0135500000000003E-3</c:v>
                </c:pt>
                <c:pt idx="179">
                  <c:v>-4.9381599999999996E-3</c:v>
                </c:pt>
                <c:pt idx="180">
                  <c:v>-4.8643999999999996E-3</c:v>
                </c:pt>
                <c:pt idx="181">
                  <c:v>-4.7922399999999997E-3</c:v>
                </c:pt>
                <c:pt idx="182">
                  <c:v>-4.7216899999999997E-3</c:v>
                </c:pt>
                <c:pt idx="183">
                  <c:v>-4.6528200000000002E-3</c:v>
                </c:pt>
                <c:pt idx="184">
                  <c:v>-4.5856999999999998E-3</c:v>
                </c:pt>
                <c:pt idx="185">
                  <c:v>-4.5203500000000002E-3</c:v>
                </c:pt>
                <c:pt idx="186">
                  <c:v>-4.4566500000000004E-3</c:v>
                </c:pt>
                <c:pt idx="187">
                  <c:v>-4.3944300000000004E-3</c:v>
                </c:pt>
                <c:pt idx="188">
                  <c:v>-4.3335300000000004E-3</c:v>
                </c:pt>
                <c:pt idx="189">
                  <c:v>-4.2738699999999999E-3</c:v>
                </c:pt>
                <c:pt idx="190">
                  <c:v>-4.2154000000000002E-3</c:v>
                </c:pt>
                <c:pt idx="191">
                  <c:v>-4.1580899999999997E-3</c:v>
                </c:pt>
                <c:pt idx="192">
                  <c:v>-4.1017800000000002E-3</c:v>
                </c:pt>
                <c:pt idx="193">
                  <c:v>-4.04631E-3</c:v>
                </c:pt>
                <c:pt idx="194">
                  <c:v>-3.9915599999999999E-3</c:v>
                </c:pt>
                <c:pt idx="195">
                  <c:v>-3.9375499999999997E-3</c:v>
                </c:pt>
                <c:pt idx="196">
                  <c:v>-3.8842799999999999E-3</c:v>
                </c:pt>
                <c:pt idx="197">
                  <c:v>-3.8318100000000002E-3</c:v>
                </c:pt>
                <c:pt idx="198">
                  <c:v>-3.7803300000000001E-3</c:v>
                </c:pt>
                <c:pt idx="199">
                  <c:v>-3.7300900000000001E-3</c:v>
                </c:pt>
                <c:pt idx="200">
                  <c:v>-3.6813200000000001E-3</c:v>
                </c:pt>
                <c:pt idx="201">
                  <c:v>-3.63402E-3</c:v>
                </c:pt>
                <c:pt idx="202">
                  <c:v>-3.5879499999999999E-3</c:v>
                </c:pt>
                <c:pt idx="203">
                  <c:v>-3.5429300000000001E-3</c:v>
                </c:pt>
                <c:pt idx="204">
                  <c:v>-3.4991599999999999E-3</c:v>
                </c:pt>
                <c:pt idx="205">
                  <c:v>-3.4570199999999999E-3</c:v>
                </c:pt>
                <c:pt idx="206">
                  <c:v>-3.4168499999999999E-3</c:v>
                </c:pt>
                <c:pt idx="207">
                  <c:v>-3.3788199999999998E-3</c:v>
                </c:pt>
                <c:pt idx="208">
                  <c:v>-3.34287E-3</c:v>
                </c:pt>
                <c:pt idx="209">
                  <c:v>-3.30861E-3</c:v>
                </c:pt>
                <c:pt idx="210">
                  <c:v>-3.2755000000000002E-3</c:v>
                </c:pt>
                <c:pt idx="211">
                  <c:v>-3.2429999999999998E-3</c:v>
                </c:pt>
                <c:pt idx="212">
                  <c:v>-3.21091E-3</c:v>
                </c:pt>
                <c:pt idx="213">
                  <c:v>-3.1793099999999999E-3</c:v>
                </c:pt>
                <c:pt idx="214">
                  <c:v>-3.1484899999999999E-3</c:v>
                </c:pt>
                <c:pt idx="215">
                  <c:v>-3.1187200000000002E-3</c:v>
                </c:pt>
                <c:pt idx="216">
                  <c:v>-3.09019E-3</c:v>
                </c:pt>
                <c:pt idx="217">
                  <c:v>-3.0629799999999999E-3</c:v>
                </c:pt>
                <c:pt idx="218">
                  <c:v>-3.03704E-3</c:v>
                </c:pt>
                <c:pt idx="219">
                  <c:v>-3.01228E-3</c:v>
                </c:pt>
                <c:pt idx="220">
                  <c:v>-2.98854E-3</c:v>
                </c:pt>
                <c:pt idx="221">
                  <c:v>-2.9657199999999998E-3</c:v>
                </c:pt>
                <c:pt idx="222">
                  <c:v>-2.9438300000000001E-3</c:v>
                </c:pt>
                <c:pt idx="223">
                  <c:v>-2.9229099999999999E-3</c:v>
                </c:pt>
                <c:pt idx="224">
                  <c:v>-2.9030499999999999E-3</c:v>
                </c:pt>
                <c:pt idx="225">
                  <c:v>-2.8843599999999999E-3</c:v>
                </c:pt>
                <c:pt idx="226">
                  <c:v>-2.8669899999999998E-3</c:v>
                </c:pt>
                <c:pt idx="227">
                  <c:v>-2.8511299999999999E-3</c:v>
                </c:pt>
                <c:pt idx="228">
                  <c:v>-2.8367900000000001E-3</c:v>
                </c:pt>
                <c:pt idx="229">
                  <c:v>-2.8238899999999999E-3</c:v>
                </c:pt>
                <c:pt idx="230">
                  <c:v>-2.8124000000000001E-3</c:v>
                </c:pt>
                <c:pt idx="231">
                  <c:v>-2.8023200000000001E-3</c:v>
                </c:pt>
                <c:pt idx="232">
                  <c:v>-2.7936800000000002E-3</c:v>
                </c:pt>
                <c:pt idx="233">
                  <c:v>-2.7864700000000001E-3</c:v>
                </c:pt>
                <c:pt idx="234">
                  <c:v>-2.78064E-3</c:v>
                </c:pt>
                <c:pt idx="235">
                  <c:v>-2.7761299999999999E-3</c:v>
                </c:pt>
                <c:pt idx="236">
                  <c:v>-2.7727400000000001E-3</c:v>
                </c:pt>
                <c:pt idx="237">
                  <c:v>-2.7702600000000001E-3</c:v>
                </c:pt>
                <c:pt idx="238">
                  <c:v>-2.7685700000000001E-3</c:v>
                </c:pt>
                <c:pt idx="239">
                  <c:v>-2.7676900000000002E-3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D3-4031-9E36-FFAE0E46FB1C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Diss.!$C$2:$C$43</c:f>
              <c:numCache>
                <c:formatCode>0.00E+00</c:formatCode>
                <c:ptCount val="42"/>
                <c:pt idx="0">
                  <c:v>1.06463370805329E-6</c:v>
                </c:pt>
                <c:pt idx="1">
                  <c:v>1.54869684531157E-5</c:v>
                </c:pt>
                <c:pt idx="2">
                  <c:v>7.0621654590022906E-5</c:v>
                </c:pt>
                <c:pt idx="3" formatCode="General">
                  <c:v>1.66722653280205E-4</c:v>
                </c:pt>
                <c:pt idx="4" formatCode="General">
                  <c:v>3.2933873260009797E-4</c:v>
                </c:pt>
                <c:pt idx="5" formatCode="General">
                  <c:v>8.6763136390318905E-4</c:v>
                </c:pt>
                <c:pt idx="6" formatCode="General">
                  <c:v>2.59872153944378E-3</c:v>
                </c:pt>
                <c:pt idx="7" formatCode="General">
                  <c:v>5.75574581940691E-3</c:v>
                </c:pt>
                <c:pt idx="8" formatCode="General">
                  <c:v>8.6171963260817195E-3</c:v>
                </c:pt>
                <c:pt idx="9" formatCode="General">
                  <c:v>9.4644304968170105E-3</c:v>
                </c:pt>
                <c:pt idx="10" formatCode="General">
                  <c:v>8.4427994560142602E-3</c:v>
                </c:pt>
                <c:pt idx="11" formatCode="General">
                  <c:v>6.67786955885787E-3</c:v>
                </c:pt>
                <c:pt idx="12" formatCode="General">
                  <c:v>5.0629999517726402E-3</c:v>
                </c:pt>
                <c:pt idx="13" formatCode="General">
                  <c:v>3.9720292858649899E-3</c:v>
                </c:pt>
                <c:pt idx="14" formatCode="General">
                  <c:v>3.44177757536193E-3</c:v>
                </c:pt>
                <c:pt idx="15" formatCode="General">
                  <c:v>3.3745128239273101E-3</c:v>
                </c:pt>
                <c:pt idx="16" formatCode="General">
                  <c:v>3.6335167209079599E-3</c:v>
                </c:pt>
                <c:pt idx="17" formatCode="General">
                  <c:v>4.0668921722952301E-3</c:v>
                </c:pt>
                <c:pt idx="18" formatCode="General">
                  <c:v>4.5348055169795601E-3</c:v>
                </c:pt>
                <c:pt idx="19" formatCode="General">
                  <c:v>4.9267993959183597E-3</c:v>
                </c:pt>
                <c:pt idx="20" formatCode="General">
                  <c:v>5.1733375263637504E-3</c:v>
                </c:pt>
                <c:pt idx="21" formatCode="General">
                  <c:v>5.24748850881E-3</c:v>
                </c:pt>
                <c:pt idx="22" formatCode="General">
                  <c:v>5.15966782062859E-3</c:v>
                </c:pt>
                <c:pt idx="23" formatCode="General">
                  <c:v>4.93696896321407E-3</c:v>
                </c:pt>
                <c:pt idx="24" formatCode="General">
                  <c:v>4.6286572867574299E-3</c:v>
                </c:pt>
                <c:pt idx="25" formatCode="General">
                  <c:v>4.2654171295015003E-3</c:v>
                </c:pt>
                <c:pt idx="26" formatCode="General">
                  <c:v>3.8876304941516601E-3</c:v>
                </c:pt>
                <c:pt idx="27" formatCode="General">
                  <c:v>3.5140440267143599E-3</c:v>
                </c:pt>
                <c:pt idx="28" formatCode="General">
                  <c:v>3.14904093769821E-3</c:v>
                </c:pt>
                <c:pt idx="29" formatCode="General">
                  <c:v>2.7973348134904298E-3</c:v>
                </c:pt>
                <c:pt idx="30" formatCode="General">
                  <c:v>2.4625710166634699E-3</c:v>
                </c:pt>
                <c:pt idx="31" formatCode="General">
                  <c:v>2.1502632825162898E-3</c:v>
                </c:pt>
                <c:pt idx="32" formatCode="General">
                  <c:v>1.8585205464655E-3</c:v>
                </c:pt>
                <c:pt idx="33" formatCode="General">
                  <c:v>1.5752758237227401E-3</c:v>
                </c:pt>
                <c:pt idx="34" formatCode="General">
                  <c:v>1.31377556451422E-3</c:v>
                </c:pt>
                <c:pt idx="35" formatCode="General">
                  <c:v>1.0758617860270501E-3</c:v>
                </c:pt>
                <c:pt idx="36" formatCode="General">
                  <c:v>8.5476188084338705E-4</c:v>
                </c:pt>
                <c:pt idx="37" formatCode="General">
                  <c:v>6.5518616522389401E-4</c:v>
                </c:pt>
                <c:pt idx="38" formatCode="General">
                  <c:v>4.78947361311894E-4</c:v>
                </c:pt>
                <c:pt idx="39" formatCode="General">
                  <c:v>3.3647755801455298E-4</c:v>
                </c:pt>
                <c:pt idx="40" formatCode="General">
                  <c:v>2.3669873702731399E-4</c:v>
                </c:pt>
                <c:pt idx="41" formatCode="General">
                  <c:v>1.7725641273577699E-4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D3-4031-9E36-FFAE0E46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9024"/>
        <c:axId val="106850560"/>
      </c:scatterChart>
      <c:valAx>
        <c:axId val="1068490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850560"/>
        <c:crosses val="autoZero"/>
        <c:crossBetween val="midCat"/>
      </c:valAx>
      <c:valAx>
        <c:axId val="1068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49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refreshOnLoad="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3m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2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1m_1" refreshOnLoad="1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eumam_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iricm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395_diric" refreshOnLoad="1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9"/>
  <sheetViews>
    <sheetView workbookViewId="0"/>
  </sheetViews>
  <sheetFormatPr defaultRowHeight="15" x14ac:dyDescent="0.25"/>
  <sheetData>
    <row r="1" spans="1:9" x14ac:dyDescent="0.25">
      <c r="A1" t="s">
        <v>482</v>
      </c>
    </row>
    <row r="3" spans="1:9" x14ac:dyDescent="0.25">
      <c r="A3" t="s">
        <v>483</v>
      </c>
    </row>
    <row r="5" spans="1:9" x14ac:dyDescent="0.25">
      <c r="A5" t="s">
        <v>484</v>
      </c>
    </row>
    <row r="6" spans="1:9" x14ac:dyDescent="0.25">
      <c r="B6" t="s">
        <v>485</v>
      </c>
    </row>
    <row r="7" spans="1:9" x14ac:dyDescent="0.25">
      <c r="A7" t="s">
        <v>486</v>
      </c>
    </row>
    <row r="8" spans="1:9" x14ac:dyDescent="0.25">
      <c r="B8" t="s">
        <v>487</v>
      </c>
    </row>
    <row r="10" spans="1:9" x14ac:dyDescent="0.25">
      <c r="A10" t="s">
        <v>488</v>
      </c>
    </row>
    <row r="11" spans="1:9" x14ac:dyDescent="0.25">
      <c r="B11" t="s">
        <v>489</v>
      </c>
    </row>
    <row r="13" spans="1:9" x14ac:dyDescent="0.25">
      <c r="A13" t="s">
        <v>490</v>
      </c>
    </row>
    <row r="14" spans="1:9" x14ac:dyDescent="0.25">
      <c r="C14" s="4">
        <v>0</v>
      </c>
      <c r="D14" s="4" t="s">
        <v>491</v>
      </c>
      <c r="E14" s="4">
        <v>6.2830000000000004</v>
      </c>
      <c r="H14" s="5" t="s">
        <v>492</v>
      </c>
      <c r="I14">
        <v>30</v>
      </c>
    </row>
    <row r="15" spans="1:9" x14ac:dyDescent="0.25">
      <c r="B15" s="5" t="s">
        <v>493</v>
      </c>
      <c r="C15" s="4">
        <f>E15-150/400</f>
        <v>-1.375</v>
      </c>
      <c r="D15" s="4" t="s">
        <v>494</v>
      </c>
      <c r="E15" s="4">
        <v>-1</v>
      </c>
      <c r="G15">
        <v>1</v>
      </c>
      <c r="H15" s="6" t="s">
        <v>495</v>
      </c>
      <c r="I15">
        <v>15</v>
      </c>
    </row>
    <row r="16" spans="1:9" x14ac:dyDescent="0.25">
      <c r="B16" s="5" t="s">
        <v>496</v>
      </c>
      <c r="C16" s="4">
        <v>-1</v>
      </c>
      <c r="D16" s="4" t="s">
        <v>494</v>
      </c>
      <c r="E16" s="4">
        <v>1</v>
      </c>
      <c r="H16" s="5" t="s">
        <v>497</v>
      </c>
      <c r="I16">
        <v>15</v>
      </c>
    </row>
    <row r="17" spans="1:5" x14ac:dyDescent="0.25">
      <c r="B17" s="5" t="s">
        <v>498</v>
      </c>
      <c r="C17" s="4">
        <v>1</v>
      </c>
      <c r="D17" s="4" t="s">
        <v>494</v>
      </c>
      <c r="E17" s="4">
        <f>C17+150/400</f>
        <v>1.375</v>
      </c>
    </row>
    <row r="18" spans="1:5" x14ac:dyDescent="0.25">
      <c r="C18" s="4">
        <v>0</v>
      </c>
      <c r="D18" s="4" t="s">
        <v>499</v>
      </c>
      <c r="E18" s="4">
        <v>3.1419999999999999</v>
      </c>
    </row>
    <row r="20" spans="1:5" x14ac:dyDescent="0.25">
      <c r="A20" t="s">
        <v>500</v>
      </c>
    </row>
    <row r="21" spans="1:5" x14ac:dyDescent="0.25">
      <c r="B21" s="5" t="s">
        <v>501</v>
      </c>
      <c r="C21">
        <v>395</v>
      </c>
    </row>
    <row r="23" spans="1:5" x14ac:dyDescent="0.25">
      <c r="A23" s="7" t="s">
        <v>502</v>
      </c>
      <c r="B23" s="7"/>
    </row>
    <row r="24" spans="1:5" x14ac:dyDescent="0.25">
      <c r="A24" s="7">
        <v>1</v>
      </c>
      <c r="B24" s="7" t="s">
        <v>503</v>
      </c>
      <c r="C24" t="s">
        <v>504</v>
      </c>
    </row>
    <row r="25" spans="1:5" x14ac:dyDescent="0.25">
      <c r="A25">
        <v>1</v>
      </c>
      <c r="B25" t="s">
        <v>505</v>
      </c>
      <c r="C25" t="s">
        <v>506</v>
      </c>
    </row>
    <row r="26" spans="1:5" x14ac:dyDescent="0.25">
      <c r="A26">
        <v>1</v>
      </c>
      <c r="B26" t="s">
        <v>507</v>
      </c>
      <c r="C26" t="s">
        <v>508</v>
      </c>
    </row>
    <row r="27" spans="1:5" x14ac:dyDescent="0.25">
      <c r="A27">
        <v>1</v>
      </c>
      <c r="B27" t="s">
        <v>509</v>
      </c>
      <c r="C27" t="s">
        <v>510</v>
      </c>
    </row>
    <row r="28" spans="1:5" x14ac:dyDescent="0.25">
      <c r="D28" t="s">
        <v>511</v>
      </c>
    </row>
    <row r="29" spans="1:5" x14ac:dyDescent="0.25">
      <c r="D29" t="s">
        <v>512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382</v>
      </c>
      <c r="B1" t="s">
        <v>465</v>
      </c>
      <c r="C1" t="s">
        <v>466</v>
      </c>
    </row>
    <row r="2" spans="1:6" x14ac:dyDescent="0.25">
      <c r="A2" s="3">
        <v>0.49376130104064903</v>
      </c>
      <c r="B2" s="3">
        <v>0.49407153462495901</v>
      </c>
      <c r="C2" s="1">
        <v>2.8338408363914799E-5</v>
      </c>
      <c r="E2" s="1"/>
      <c r="F2" s="1"/>
    </row>
    <row r="3" spans="1:6" x14ac:dyDescent="0.25">
      <c r="A3" s="3">
        <v>1.5257111191749499</v>
      </c>
      <c r="B3" s="3">
        <v>1.52322148303442</v>
      </c>
      <c r="C3" s="3">
        <v>2.6582998492585803E-4</v>
      </c>
      <c r="E3" s="1"/>
      <c r="F3" s="1"/>
    </row>
    <row r="4" spans="1:6" x14ac:dyDescent="0.25">
      <c r="A4" s="3">
        <v>2.6505178213119498</v>
      </c>
      <c r="B4" s="3">
        <v>2.63505484491963</v>
      </c>
      <c r="C4" s="3">
        <v>1.05343727861395E-3</v>
      </c>
      <c r="E4" s="1"/>
      <c r="F4" s="1"/>
    </row>
    <row r="5" spans="1:6" x14ac:dyDescent="0.25">
      <c r="A5" s="3">
        <v>3.8765159249305698</v>
      </c>
      <c r="B5" s="3">
        <v>3.8208375307578</v>
      </c>
      <c r="C5" s="3">
        <v>2.3373021856514199E-3</v>
      </c>
      <c r="E5" s="1"/>
      <c r="F5" s="1"/>
    </row>
    <row r="6" spans="1:6" x14ac:dyDescent="0.25">
      <c r="A6" s="3">
        <v>5.2129346132278398</v>
      </c>
      <c r="B6" s="3">
        <v>5.0581298155120598</v>
      </c>
      <c r="C6" s="3">
        <v>4.4906241962507903E-3</v>
      </c>
      <c r="E6" s="1"/>
      <c r="F6" s="1"/>
    </row>
    <row r="7" spans="1:6" x14ac:dyDescent="0.25">
      <c r="A7" s="3">
        <v>6.6695916652679399</v>
      </c>
      <c r="B7" s="3">
        <v>6.3101583100572398</v>
      </c>
      <c r="C7" s="3">
        <v>8.9801581134452101E-3</v>
      </c>
      <c r="E7" s="1"/>
      <c r="F7" s="1"/>
    </row>
    <row r="8" spans="1:6" x14ac:dyDescent="0.25">
      <c r="A8" s="3">
        <v>8.2573878765106201</v>
      </c>
      <c r="B8" s="3">
        <v>7.5316029219687701</v>
      </c>
      <c r="C8" s="3">
        <v>1.9934394112624401E-2</v>
      </c>
      <c r="E8" s="1"/>
      <c r="F8" s="1"/>
    </row>
    <row r="9" spans="1:6" x14ac:dyDescent="0.25">
      <c r="A9" s="3">
        <v>9.9880245327949506</v>
      </c>
      <c r="B9" s="3">
        <v>8.6796419529975193</v>
      </c>
      <c r="C9" s="3">
        <v>4.3703561397705898E-2</v>
      </c>
      <c r="E9" s="1"/>
      <c r="F9" s="1"/>
    </row>
    <row r="10" spans="1:6" x14ac:dyDescent="0.25">
      <c r="A10" s="3">
        <v>11.874474287032999</v>
      </c>
      <c r="B10" s="3">
        <v>9.7245131293429505</v>
      </c>
      <c r="C10" s="3">
        <v>8.3639285370736602E-2</v>
      </c>
      <c r="E10" s="1"/>
      <c r="F10" s="1"/>
    </row>
    <row r="11" spans="1:6" x14ac:dyDescent="0.25">
      <c r="A11" s="3">
        <v>13.9306750893592</v>
      </c>
      <c r="B11" s="3">
        <v>10.6535672981527</v>
      </c>
      <c r="C11" s="3">
        <v>0.13712833091631099</v>
      </c>
      <c r="E11" s="1"/>
      <c r="F11" s="1"/>
    </row>
    <row r="12" spans="1:6" x14ac:dyDescent="0.25">
      <c r="A12" s="3">
        <v>16.171883344650201</v>
      </c>
      <c r="B12" s="3">
        <v>11.4683315222776</v>
      </c>
      <c r="C12" s="3">
        <v>0.19883501684671501</v>
      </c>
      <c r="E12" s="1"/>
      <c r="F12" s="1"/>
    </row>
    <row r="13" spans="1:6" x14ac:dyDescent="0.25">
      <c r="A13" s="3">
        <v>18.614838719367899</v>
      </c>
      <c r="B13" s="3">
        <v>12.178623547735</v>
      </c>
      <c r="C13" s="3">
        <v>0.26468792323430501</v>
      </c>
      <c r="E13" s="1"/>
      <c r="F13" s="1"/>
    </row>
    <row r="14" spans="1:6" x14ac:dyDescent="0.25">
      <c r="A14" s="3">
        <v>21.2777170538902</v>
      </c>
      <c r="B14" s="3">
        <v>12.7974964051306</v>
      </c>
      <c r="C14" s="3">
        <v>0.33304551051696701</v>
      </c>
      <c r="E14" s="1"/>
      <c r="F14" s="1"/>
    </row>
    <row r="15" spans="1:6" x14ac:dyDescent="0.25">
      <c r="A15" s="3">
        <v>24.180224537849401</v>
      </c>
      <c r="B15" s="3">
        <v>13.3382396972632</v>
      </c>
      <c r="C15" s="3">
        <v>0.40383201473741698</v>
      </c>
      <c r="E15" s="1"/>
      <c r="F15" s="1"/>
    </row>
    <row r="16" spans="1:6" x14ac:dyDescent="0.25">
      <c r="A16" s="3">
        <v>27.343950867652801</v>
      </c>
      <c r="B16" s="3">
        <v>13.8130475484872</v>
      </c>
      <c r="C16" s="3">
        <v>0.47730645665433202</v>
      </c>
      <c r="E16" s="1"/>
      <c r="F16" s="1"/>
    </row>
    <row r="17" spans="1:6" x14ac:dyDescent="0.25">
      <c r="A17" s="3">
        <v>30.7923927903175</v>
      </c>
      <c r="B17" s="3">
        <v>14.2326221864434</v>
      </c>
      <c r="C17" s="3">
        <v>0.55322507620439798</v>
      </c>
      <c r="E17" s="1"/>
      <c r="F17" s="1"/>
    </row>
    <row r="18" spans="1:6" x14ac:dyDescent="0.25">
      <c r="A18" s="3">
        <v>34.551213085651298</v>
      </c>
      <c r="B18" s="3">
        <v>14.606153694889199</v>
      </c>
      <c r="C18" s="3">
        <v>0.63037852750858203</v>
      </c>
      <c r="E18" s="1"/>
      <c r="F18" s="1"/>
    </row>
    <row r="19" spans="1:6" x14ac:dyDescent="0.25">
      <c r="A19" s="3">
        <v>38.6483111977577</v>
      </c>
      <c r="B19" s="3">
        <v>14.941476662853001</v>
      </c>
      <c r="C19" s="3">
        <v>0.70656433768453997</v>
      </c>
      <c r="E19" s="1"/>
      <c r="F19" s="1"/>
    </row>
    <row r="20" spans="1:6" x14ac:dyDescent="0.25">
      <c r="A20" s="3">
        <v>43.1141293048858</v>
      </c>
      <c r="B20" s="3">
        <v>15.2453110193904</v>
      </c>
      <c r="C20" s="3">
        <v>0.77915052491880399</v>
      </c>
      <c r="E20" s="1"/>
      <c r="F20" s="1"/>
    </row>
    <row r="21" spans="1:6" x14ac:dyDescent="0.25">
      <c r="A21" s="3">
        <v>47.981887757778097</v>
      </c>
      <c r="B21" s="3">
        <v>15.5235476252398</v>
      </c>
      <c r="C21" s="3">
        <v>0.84591457703209005</v>
      </c>
      <c r="E21" s="1"/>
      <c r="F21" s="1"/>
    </row>
    <row r="22" spans="1:6" x14ac:dyDescent="0.25">
      <c r="A22" s="3">
        <v>53.287820518016801</v>
      </c>
      <c r="B22" s="3">
        <v>15.781272782555099</v>
      </c>
      <c r="C22" s="3">
        <v>0.90496776459622097</v>
      </c>
      <c r="E22" s="1"/>
      <c r="F22" s="1"/>
    </row>
    <row r="23" spans="1:6" x14ac:dyDescent="0.25">
      <c r="A23" s="3">
        <v>59.071175158023799</v>
      </c>
      <c r="B23" s="3">
        <v>16.022810860525201</v>
      </c>
      <c r="C23" s="3">
        <v>0.955567914264975</v>
      </c>
      <c r="E23" s="1"/>
      <c r="F23" s="1"/>
    </row>
    <row r="24" spans="1:6" x14ac:dyDescent="0.25">
      <c r="A24" s="3">
        <v>65.375131070613804</v>
      </c>
      <c r="B24" s="3">
        <v>16.252053578292202</v>
      </c>
      <c r="C24" s="3">
        <v>0.99819612331339103</v>
      </c>
      <c r="E24" s="1"/>
      <c r="F24" s="1"/>
    </row>
    <row r="25" spans="1:6" x14ac:dyDescent="0.25">
      <c r="A25" s="3">
        <v>72.246375679969702</v>
      </c>
      <c r="B25" s="3">
        <v>16.472424838814501</v>
      </c>
      <c r="C25" s="3">
        <v>1.03398250532336</v>
      </c>
      <c r="E25" s="1"/>
      <c r="F25" s="1"/>
    </row>
    <row r="26" spans="1:6" x14ac:dyDescent="0.25">
      <c r="A26" s="3">
        <v>79.736069738864799</v>
      </c>
      <c r="B26" s="3">
        <v>16.686703832541799</v>
      </c>
      <c r="C26" s="3">
        <v>1.06427226233063</v>
      </c>
      <c r="E26" s="1"/>
      <c r="F26" s="1"/>
    </row>
    <row r="27" spans="1:6" x14ac:dyDescent="0.25">
      <c r="A27" s="3">
        <v>87.899753153324099</v>
      </c>
      <c r="B27" s="3">
        <v>16.897109223015701</v>
      </c>
      <c r="C27" s="3">
        <v>1.0904058691521601</v>
      </c>
      <c r="E27" s="1"/>
      <c r="F27" s="1"/>
    </row>
    <row r="28" spans="1:6" x14ac:dyDescent="0.25">
      <c r="A28" s="3">
        <v>96.798263192176805</v>
      </c>
      <c r="B28" s="3">
        <v>17.105602854414801</v>
      </c>
      <c r="C28" s="3">
        <v>1.1133950533694501</v>
      </c>
      <c r="E28" s="1"/>
      <c r="F28" s="1"/>
    </row>
    <row r="29" spans="1:6" x14ac:dyDescent="0.25">
      <c r="A29" s="3">
        <v>106.497616767883</v>
      </c>
      <c r="B29" s="3">
        <v>17.3137149865114</v>
      </c>
      <c r="C29" s="3">
        <v>1.13345552003011</v>
      </c>
      <c r="E29" s="1"/>
      <c r="F29" s="1"/>
    </row>
    <row r="30" spans="1:6" x14ac:dyDescent="0.25">
      <c r="A30" s="3">
        <v>117.06990510225199</v>
      </c>
      <c r="B30" s="3">
        <v>17.522615692585301</v>
      </c>
      <c r="C30" s="3">
        <v>1.1503564575395999</v>
      </c>
      <c r="E30" s="1"/>
      <c r="F30" s="1"/>
    </row>
    <row r="31" spans="1:6" x14ac:dyDescent="0.25">
      <c r="A31" s="3">
        <v>128.593670427799</v>
      </c>
      <c r="B31" s="3">
        <v>17.733164944527999</v>
      </c>
      <c r="C31" s="3">
        <v>1.1640313765383301</v>
      </c>
      <c r="E31" s="1"/>
      <c r="F31" s="1"/>
    </row>
    <row r="32" spans="1:6" x14ac:dyDescent="0.25">
      <c r="A32" s="3">
        <v>141.15461230278001</v>
      </c>
      <c r="B32" s="3">
        <v>17.946215254747401</v>
      </c>
      <c r="C32" s="3">
        <v>1.1737124122737399</v>
      </c>
      <c r="E32" s="1"/>
      <c r="F32" s="1"/>
    </row>
    <row r="33" spans="1:6" x14ac:dyDescent="0.25">
      <c r="A33" s="3">
        <v>154.84601140022201</v>
      </c>
      <c r="B33" s="3">
        <v>18.1625637223448</v>
      </c>
      <c r="C33" s="3">
        <v>1.17910791590111</v>
      </c>
      <c r="E33" s="1"/>
      <c r="F33" s="1"/>
    </row>
    <row r="34" spans="1:6" x14ac:dyDescent="0.25">
      <c r="A34" s="3">
        <v>169.76969480514501</v>
      </c>
      <c r="B34" s="3">
        <v>18.382358471351299</v>
      </c>
      <c r="C34" s="3">
        <v>1.17873837071238</v>
      </c>
      <c r="E34" s="1"/>
      <c r="F34" s="1"/>
    </row>
    <row r="35" spans="1:6" x14ac:dyDescent="0.25">
      <c r="A35" s="3">
        <v>186.03645980358101</v>
      </c>
      <c r="B35" s="3">
        <v>18.605460968500399</v>
      </c>
      <c r="C35" s="3">
        <v>1.1702522936684501</v>
      </c>
      <c r="E35" s="1"/>
      <c r="F35" s="1"/>
    </row>
    <row r="36" spans="1:6" x14ac:dyDescent="0.25">
      <c r="A36" s="3">
        <v>203.76720398664401</v>
      </c>
      <c r="B36" s="3">
        <v>18.8314598765554</v>
      </c>
      <c r="C36" s="3">
        <v>1.15381410976988</v>
      </c>
      <c r="E36" s="1"/>
      <c r="F36" s="1"/>
    </row>
    <row r="37" spans="1:6" x14ac:dyDescent="0.25">
      <c r="A37" s="3">
        <v>223.09376105666101</v>
      </c>
      <c r="B37" s="3">
        <v>19.059106264838601</v>
      </c>
      <c r="C37" s="3">
        <v>1.12867352718603</v>
      </c>
      <c r="E37" s="1"/>
      <c r="F37" s="1"/>
    </row>
    <row r="38" spans="1:6" x14ac:dyDescent="0.25">
      <c r="A38" s="3">
        <v>244.15970131754801</v>
      </c>
      <c r="B38" s="3">
        <v>19.284674654127599</v>
      </c>
      <c r="C38" s="3">
        <v>1.0921732323768001</v>
      </c>
      <c r="E38" s="1"/>
      <c r="F38" s="1"/>
    </row>
    <row r="39" spans="1:6" x14ac:dyDescent="0.25">
      <c r="A39" s="3">
        <v>267.12157949805197</v>
      </c>
      <c r="B39" s="3">
        <v>19.5031970283653</v>
      </c>
      <c r="C39" s="3">
        <v>1.04628365344251</v>
      </c>
      <c r="E39" s="1"/>
      <c r="F39" s="1"/>
    </row>
    <row r="40" spans="1:6" x14ac:dyDescent="0.25">
      <c r="A40" s="3">
        <v>292.15002954006098</v>
      </c>
      <c r="B40" s="3">
        <v>19.709083037436699</v>
      </c>
      <c r="C40" s="3">
        <v>0.99009593119262695</v>
      </c>
      <c r="E40" s="1"/>
      <c r="F40" s="1"/>
    </row>
    <row r="41" spans="1:6" x14ac:dyDescent="0.25">
      <c r="A41" s="3">
        <v>319.43101242184599</v>
      </c>
      <c r="B41" s="3">
        <v>19.891339533842</v>
      </c>
      <c r="C41" s="3">
        <v>0.93174715060740698</v>
      </c>
      <c r="E41" s="1"/>
      <c r="F41" s="1"/>
    </row>
    <row r="42" spans="1:6" x14ac:dyDescent="0.25">
      <c r="A42" s="3">
        <v>349.16732590645501</v>
      </c>
      <c r="B42" s="3">
        <v>20.034197169315899</v>
      </c>
      <c r="C42" s="3">
        <v>0.88755197130376395</v>
      </c>
      <c r="E42" s="1"/>
      <c r="F42" s="1"/>
    </row>
    <row r="43" spans="1:6" x14ac:dyDescent="0.25">
      <c r="A43" s="3">
        <v>379.83785875141598</v>
      </c>
      <c r="B43" s="3">
        <v>20.108992345423601</v>
      </c>
      <c r="C43" s="3">
        <v>0.82010201002412897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382</v>
      </c>
      <c r="B1" t="s">
        <v>467</v>
      </c>
      <c r="C1" t="s">
        <v>468</v>
      </c>
      <c r="D1" t="s">
        <v>469</v>
      </c>
      <c r="E1" t="s">
        <v>470</v>
      </c>
      <c r="G1" t="s">
        <v>6</v>
      </c>
    </row>
    <row r="2" spans="1:20" x14ac:dyDescent="0.25">
      <c r="A2" s="3">
        <v>0.49376130104064903</v>
      </c>
      <c r="B2" s="3">
        <v>3.8298964524997703E-2</v>
      </c>
      <c r="C2" s="1">
        <v>5.17545571885317E-6</v>
      </c>
      <c r="D2" s="3">
        <v>1.04314256374766E-2</v>
      </c>
      <c r="E2" s="3">
        <v>1.09487835145545E-4</v>
      </c>
      <c r="G2">
        <f>(D2+C2+B2)/2</f>
        <v>2.4367782809096579E-2</v>
      </c>
      <c r="K2" s="1"/>
      <c r="T2" s="1"/>
    </row>
    <row r="3" spans="1:20" x14ac:dyDescent="0.25">
      <c r="A3" s="3">
        <v>1.5257111191749499</v>
      </c>
      <c r="B3" s="3">
        <v>0.36479003198554599</v>
      </c>
      <c r="C3" s="3">
        <v>1.09740045074735E-4</v>
      </c>
      <c r="D3" s="3">
        <v>7.7520189809400203E-2</v>
      </c>
      <c r="E3" s="3">
        <v>2.28752926783577E-3</v>
      </c>
      <c r="G3">
        <f>(D3+C3+B3)/2</f>
        <v>0.22120998092001046</v>
      </c>
      <c r="K3" s="1"/>
      <c r="T3" s="1"/>
    </row>
    <row r="4" spans="1:20" x14ac:dyDescent="0.25">
      <c r="A4" s="3">
        <v>2.6505178213119498</v>
      </c>
      <c r="B4" s="3">
        <v>1.08835486287244</v>
      </c>
      <c r="C4" s="3">
        <v>8.1456463042781297E-4</v>
      </c>
      <c r="D4" s="3">
        <v>0.188642706213758</v>
      </c>
      <c r="E4" s="3">
        <v>1.2754127152502501E-2</v>
      </c>
      <c r="G4">
        <f>(D4+C4+B4)/2</f>
        <v>0.63890606685831286</v>
      </c>
      <c r="K4" s="1"/>
    </row>
    <row r="5" spans="1:20" x14ac:dyDescent="0.25">
      <c r="A5" s="3">
        <v>3.8765159249305698</v>
      </c>
      <c r="B5" s="3">
        <v>2.24728768661054</v>
      </c>
      <c r="C5" s="3">
        <v>2.98797640019697E-3</v>
      </c>
      <c r="D5" s="3">
        <v>0.32351331739987099</v>
      </c>
      <c r="E5" s="3">
        <v>3.9148798718110299E-2</v>
      </c>
      <c r="G5" s="1"/>
      <c r="K5" s="1"/>
    </row>
    <row r="6" spans="1:20" x14ac:dyDescent="0.25">
      <c r="A6" s="3">
        <v>5.2129346132278398</v>
      </c>
      <c r="B6" s="3">
        <v>3.7752039247032498</v>
      </c>
      <c r="C6" s="3">
        <v>7.7843244110470397E-3</v>
      </c>
      <c r="D6" s="3">
        <v>0.465158898721866</v>
      </c>
      <c r="E6" s="3">
        <v>8.8286835420295501E-2</v>
      </c>
      <c r="K6" s="1"/>
    </row>
    <row r="7" spans="1:20" x14ac:dyDescent="0.25">
      <c r="A7" s="3">
        <v>6.6695916652679399</v>
      </c>
      <c r="B7" s="3">
        <v>5.4655295210969701</v>
      </c>
      <c r="C7" s="3">
        <v>1.6484242997712301E-2</v>
      </c>
      <c r="D7" s="3">
        <v>0.60236334681570303</v>
      </c>
      <c r="E7" s="3">
        <v>0.162061974980933</v>
      </c>
      <c r="K7" s="1"/>
    </row>
    <row r="8" spans="1:20" x14ac:dyDescent="0.25">
      <c r="A8" s="3">
        <v>8.2573878765106201</v>
      </c>
      <c r="B8" s="3">
        <v>7.0258333232834502</v>
      </c>
      <c r="C8" s="3">
        <v>3.0317404354500001E-2</v>
      </c>
      <c r="D8" s="3">
        <v>0.72981099545675698</v>
      </c>
      <c r="E8" s="3">
        <v>0.25503338731486602</v>
      </c>
      <c r="K8" s="1"/>
    </row>
    <row r="9" spans="1:20" x14ac:dyDescent="0.25">
      <c r="A9" s="3">
        <v>9.9880245327949506</v>
      </c>
      <c r="B9" s="3">
        <v>8.2039580940157304</v>
      </c>
      <c r="C9" s="3">
        <v>5.0313029943734697E-2</v>
      </c>
      <c r="D9" s="3">
        <v>0.845665370005654</v>
      </c>
      <c r="E9" s="3">
        <v>0.35618186177856798</v>
      </c>
      <c r="K9" s="1"/>
    </row>
    <row r="10" spans="1:20" x14ac:dyDescent="0.25">
      <c r="A10" s="3">
        <v>11.874474287032999</v>
      </c>
      <c r="B10" s="3">
        <v>8.8857392848207901</v>
      </c>
      <c r="C10" s="3">
        <v>7.7290025800676898E-2</v>
      </c>
      <c r="D10" s="3">
        <v>0.949129299141515</v>
      </c>
      <c r="E10" s="3">
        <v>0.453990313808871</v>
      </c>
      <c r="K10" s="1"/>
    </row>
    <row r="11" spans="1:20" x14ac:dyDescent="0.25">
      <c r="A11" s="3">
        <v>13.9306750893592</v>
      </c>
      <c r="B11" s="3">
        <v>9.0968137884415992</v>
      </c>
      <c r="C11" s="3">
        <v>0.111873913539964</v>
      </c>
      <c r="D11" s="3">
        <v>1.0396353894880199</v>
      </c>
      <c r="E11" s="3">
        <v>0.54065057255591498</v>
      </c>
      <c r="K11" s="1"/>
    </row>
    <row r="12" spans="1:20" x14ac:dyDescent="0.25">
      <c r="A12" s="3">
        <v>16.171883344650201</v>
      </c>
      <c r="B12" s="3">
        <v>8.9406091416529101</v>
      </c>
      <c r="C12" s="3">
        <v>0.15439018245768599</v>
      </c>
      <c r="D12" s="3">
        <v>1.1170155217328701</v>
      </c>
      <c r="E12" s="3">
        <v>0.61290358672919498</v>
      </c>
      <c r="K12" s="1"/>
    </row>
    <row r="13" spans="1:20" x14ac:dyDescent="0.25">
      <c r="A13" s="3">
        <v>18.614838719367899</v>
      </c>
      <c r="B13" s="3">
        <v>8.5364107223397703</v>
      </c>
      <c r="C13" s="3">
        <v>0.204749209852713</v>
      </c>
      <c r="D13" s="3">
        <v>1.18168363107531</v>
      </c>
      <c r="E13" s="3">
        <v>0.67071069409641904</v>
      </c>
      <c r="K13" s="1"/>
    </row>
    <row r="14" spans="1:20" x14ac:dyDescent="0.25">
      <c r="A14" s="3">
        <v>21.2777170538902</v>
      </c>
      <c r="B14" s="3">
        <v>7.9860212860345996</v>
      </c>
      <c r="C14" s="3">
        <v>0.262400644988181</v>
      </c>
      <c r="D14" s="3">
        <v>1.2345363538476699</v>
      </c>
      <c r="E14" s="3">
        <v>0.71561923980234099</v>
      </c>
      <c r="K14" s="1"/>
    </row>
    <row r="15" spans="1:20" x14ac:dyDescent="0.25">
      <c r="A15" s="3">
        <v>24.180224537849401</v>
      </c>
      <c r="B15" s="3">
        <v>7.3648011517302603</v>
      </c>
      <c r="C15" s="3">
        <v>0.32633108340380101</v>
      </c>
      <c r="D15" s="3">
        <v>1.27670029038189</v>
      </c>
      <c r="E15" s="3">
        <v>0.74964922315396398</v>
      </c>
      <c r="K15" s="1"/>
    </row>
    <row r="16" spans="1:20" x14ac:dyDescent="0.25">
      <c r="A16" s="3">
        <v>27.343950867652801</v>
      </c>
      <c r="B16" s="3">
        <v>6.7243664461418202</v>
      </c>
      <c r="C16" s="3">
        <v>0.395085742325199</v>
      </c>
      <c r="D16" s="3">
        <v>1.3093578575146501</v>
      </c>
      <c r="E16" s="3">
        <v>0.77473330923385197</v>
      </c>
      <c r="K16" s="1"/>
    </row>
    <row r="17" spans="1:11" x14ac:dyDescent="0.25">
      <c r="A17" s="3">
        <v>30.7923927903175</v>
      </c>
      <c r="B17" s="3">
        <v>6.0982939970243004</v>
      </c>
      <c r="C17" s="3">
        <v>0.46681177427160703</v>
      </c>
      <c r="D17" s="3">
        <v>1.3337245154534501</v>
      </c>
      <c r="E17" s="3">
        <v>0.79250751700731004</v>
      </c>
      <c r="K17" s="1"/>
    </row>
    <row r="18" spans="1:11" x14ac:dyDescent="0.25">
      <c r="A18" s="3">
        <v>34.551213085651298</v>
      </c>
      <c r="B18" s="3">
        <v>5.5073469487696904</v>
      </c>
      <c r="C18" s="3">
        <v>0.53933408447481701</v>
      </c>
      <c r="D18" s="3">
        <v>1.35095335876447</v>
      </c>
      <c r="E18" s="3">
        <v>0.80429402783892101</v>
      </c>
      <c r="K18" s="1"/>
    </row>
    <row r="19" spans="1:11" x14ac:dyDescent="0.25">
      <c r="A19" s="3">
        <v>38.6483111977577</v>
      </c>
      <c r="B19" s="3">
        <v>4.9633589957615998</v>
      </c>
      <c r="C19" s="3">
        <v>0.61027559684142396</v>
      </c>
      <c r="D19" s="3">
        <v>1.3621153201189</v>
      </c>
      <c r="E19" s="3">
        <v>0.81109962263041102</v>
      </c>
      <c r="K19" s="1"/>
    </row>
    <row r="20" spans="1:11" x14ac:dyDescent="0.25">
      <c r="A20" s="3">
        <v>43.1141293048858</v>
      </c>
      <c r="B20" s="3">
        <v>4.47194155727784</v>
      </c>
      <c r="C20" s="3">
        <v>0.67721852644055502</v>
      </c>
      <c r="D20" s="3">
        <v>1.3682127150980901</v>
      </c>
      <c r="E20" s="3">
        <v>0.81364649253127497</v>
      </c>
      <c r="K20" s="1"/>
    </row>
    <row r="21" spans="1:11" x14ac:dyDescent="0.25">
      <c r="A21" s="3">
        <v>47.981887757778097</v>
      </c>
      <c r="B21" s="3">
        <v>4.0345780127487201</v>
      </c>
      <c r="C21" s="3">
        <v>0.73789493705109699</v>
      </c>
      <c r="D21" s="3">
        <v>1.3700692464681701</v>
      </c>
      <c r="E21" s="3">
        <v>0.81245648464994702</v>
      </c>
      <c r="K21" s="1"/>
    </row>
    <row r="22" spans="1:11" x14ac:dyDescent="0.25">
      <c r="A22" s="3">
        <v>53.287820518016801</v>
      </c>
      <c r="B22" s="3">
        <v>3.65071138787882</v>
      </c>
      <c r="C22" s="3">
        <v>0.79038187566231299</v>
      </c>
      <c r="D22" s="3">
        <v>1.3680153479372901</v>
      </c>
      <c r="E22" s="3">
        <v>0.80799786225029901</v>
      </c>
      <c r="K22" s="1"/>
    </row>
    <row r="23" spans="1:11" x14ac:dyDescent="0.25">
      <c r="A23" s="3">
        <v>59.071175158023799</v>
      </c>
      <c r="B23" s="3">
        <v>3.3177327448139899</v>
      </c>
      <c r="C23" s="3">
        <v>0.83332248025466704</v>
      </c>
      <c r="D23" s="3">
        <v>1.3616178834285499</v>
      </c>
      <c r="E23" s="3">
        <v>0.80056890873372999</v>
      </c>
      <c r="K23" s="1"/>
    </row>
    <row r="24" spans="1:11" x14ac:dyDescent="0.25">
      <c r="A24" s="3">
        <v>65.375131070613804</v>
      </c>
      <c r="B24" s="3">
        <v>3.0306120489899202</v>
      </c>
      <c r="C24" s="3">
        <v>0.86606250697045195</v>
      </c>
      <c r="D24" s="3">
        <v>1.35035336854938</v>
      </c>
      <c r="E24" s="3">
        <v>0.79039936483380202</v>
      </c>
      <c r="K24" s="1"/>
    </row>
    <row r="25" spans="1:11" x14ac:dyDescent="0.25">
      <c r="A25" s="3">
        <v>72.246375679969702</v>
      </c>
      <c r="B25" s="3">
        <v>2.783587548676</v>
      </c>
      <c r="C25" s="3">
        <v>0.88859719280126004</v>
      </c>
      <c r="D25" s="3">
        <v>1.3339099750932399</v>
      </c>
      <c r="E25" s="3">
        <v>0.77775603344323396</v>
      </c>
      <c r="K25" s="1"/>
    </row>
    <row r="26" spans="1:11" x14ac:dyDescent="0.25">
      <c r="A26" s="3">
        <v>79.736069738864799</v>
      </c>
      <c r="B26" s="3">
        <v>2.57048936185888</v>
      </c>
      <c r="C26" s="3">
        <v>0.90151246220298398</v>
      </c>
      <c r="D26" s="3">
        <v>1.3121232304261199</v>
      </c>
      <c r="E26" s="3">
        <v>0.762748687021372</v>
      </c>
      <c r="K26" s="1"/>
    </row>
    <row r="27" spans="1:11" x14ac:dyDescent="0.25">
      <c r="A27" s="3">
        <v>87.899753153324099</v>
      </c>
      <c r="B27" s="3">
        <v>2.3849465182640701</v>
      </c>
      <c r="C27" s="3">
        <v>0.90570026292157102</v>
      </c>
      <c r="D27" s="3">
        <v>1.28510476755752</v>
      </c>
      <c r="E27" s="3">
        <v>0.74543165363284203</v>
      </c>
      <c r="K27" s="1"/>
    </row>
    <row r="28" spans="1:11" x14ac:dyDescent="0.25">
      <c r="A28" s="3">
        <v>96.798263192176805</v>
      </c>
      <c r="B28" s="3">
        <v>2.2212201881389202</v>
      </c>
      <c r="C28" s="3">
        <v>0.90238959996967105</v>
      </c>
      <c r="D28" s="3">
        <v>1.25261107768271</v>
      </c>
      <c r="E28" s="3">
        <v>0.72579510957280802</v>
      </c>
      <c r="K28" s="1"/>
    </row>
    <row r="29" spans="1:11" x14ac:dyDescent="0.25">
      <c r="A29" s="3">
        <v>106.497616767883</v>
      </c>
      <c r="B29" s="3">
        <v>2.0748374600585602</v>
      </c>
      <c r="C29" s="3">
        <v>0.89249943628153305</v>
      </c>
      <c r="D29" s="3">
        <v>1.21478341376972</v>
      </c>
      <c r="E29" s="3">
        <v>0.70380869066268303</v>
      </c>
      <c r="K29" s="1"/>
    </row>
    <row r="30" spans="1:11" x14ac:dyDescent="0.25">
      <c r="A30" s="3">
        <v>117.06990510225199</v>
      </c>
      <c r="B30" s="3">
        <v>1.9414602752736101</v>
      </c>
      <c r="C30" s="3">
        <v>0.87667977366050198</v>
      </c>
      <c r="D30" s="3">
        <v>1.1722359806368501</v>
      </c>
      <c r="E30" s="3">
        <v>0.67940132388641805</v>
      </c>
      <c r="K30" s="1"/>
    </row>
    <row r="31" spans="1:11" x14ac:dyDescent="0.25">
      <c r="A31" s="3">
        <v>128.593670427799</v>
      </c>
      <c r="B31" s="3">
        <v>1.81775095564387</v>
      </c>
      <c r="C31" s="3">
        <v>0.855382055997021</v>
      </c>
      <c r="D31" s="3">
        <v>1.12520529142022</v>
      </c>
      <c r="E31" s="3">
        <v>0.65242245352519102</v>
      </c>
      <c r="K31" s="1"/>
    </row>
    <row r="32" spans="1:11" x14ac:dyDescent="0.25">
      <c r="A32" s="3">
        <v>141.15461230278001</v>
      </c>
      <c r="B32" s="3">
        <v>1.70097479012449</v>
      </c>
      <c r="C32" s="3">
        <v>0.82886854644141905</v>
      </c>
      <c r="D32" s="3">
        <v>1.0729253948306401</v>
      </c>
      <c r="E32" s="3">
        <v>0.62261424453804903</v>
      </c>
      <c r="K32" s="1"/>
    </row>
    <row r="33" spans="1:11" x14ac:dyDescent="0.25">
      <c r="A33" s="3">
        <v>154.84601140022201</v>
      </c>
      <c r="B33" s="3">
        <v>1.5886114030488401</v>
      </c>
      <c r="C33" s="3">
        <v>0.79720220601105796</v>
      </c>
      <c r="D33" s="3">
        <v>1.01520651475193</v>
      </c>
      <c r="E33" s="3">
        <v>0.58986443132843103</v>
      </c>
      <c r="K33" s="1"/>
    </row>
    <row r="34" spans="1:11" x14ac:dyDescent="0.25">
      <c r="A34" s="3">
        <v>169.76969480514501</v>
      </c>
      <c r="B34" s="3">
        <v>1.4780636152397999</v>
      </c>
      <c r="C34" s="3">
        <v>0.76032587860507195</v>
      </c>
      <c r="D34" s="3">
        <v>0.95288574991137298</v>
      </c>
      <c r="E34" s="3">
        <v>0.55396117165530101</v>
      </c>
      <c r="K34" s="1"/>
    </row>
    <row r="35" spans="1:11" x14ac:dyDescent="0.25">
      <c r="A35" s="3">
        <v>186.03645980358101</v>
      </c>
      <c r="B35" s="3">
        <v>1.3674969242411401</v>
      </c>
      <c r="C35" s="3">
        <v>0.71790816302924099</v>
      </c>
      <c r="D35" s="3">
        <v>0.88529129285776598</v>
      </c>
      <c r="E35" s="3">
        <v>0.514653365669276</v>
      </c>
      <c r="K35" s="1"/>
    </row>
    <row r="36" spans="1:11" x14ac:dyDescent="0.25">
      <c r="A36" s="3">
        <v>203.76720398664401</v>
      </c>
      <c r="B36" s="3">
        <v>1.2556120706662499</v>
      </c>
      <c r="C36" s="3">
        <v>0.67019197271224995</v>
      </c>
      <c r="D36" s="3">
        <v>0.81171635779692497</v>
      </c>
      <c r="E36" s="3">
        <v>0.47159193694963297</v>
      </c>
      <c r="K36" s="1"/>
    </row>
    <row r="37" spans="1:11" x14ac:dyDescent="0.25">
      <c r="A37" s="3">
        <v>223.09376105666101</v>
      </c>
      <c r="B37" s="3">
        <v>1.14076804927538</v>
      </c>
      <c r="C37" s="3">
        <v>0.61827942314594198</v>
      </c>
      <c r="D37" s="3">
        <v>0.73233851563597296</v>
      </c>
      <c r="E37" s="3">
        <v>0.42450189618295803</v>
      </c>
      <c r="K37" s="1"/>
    </row>
    <row r="38" spans="1:11" x14ac:dyDescent="0.25">
      <c r="A38" s="3">
        <v>244.15970131754801</v>
      </c>
      <c r="B38" s="3">
        <v>1.02363949555599</v>
      </c>
      <c r="C38" s="3">
        <v>0.56271453919664205</v>
      </c>
      <c r="D38" s="3">
        <v>0.64873305698304196</v>
      </c>
      <c r="E38" s="3">
        <v>0.37308827174713399</v>
      </c>
      <c r="K38" s="1"/>
    </row>
    <row r="39" spans="1:11" x14ac:dyDescent="0.25">
      <c r="A39" s="3">
        <v>267.12157949805197</v>
      </c>
      <c r="B39" s="3">
        <v>0.90121164845336998</v>
      </c>
      <c r="C39" s="3">
        <v>0.50563055325399098</v>
      </c>
      <c r="D39" s="3">
        <v>0.56447346610541305</v>
      </c>
      <c r="E39" s="3">
        <v>0.31693411435165703</v>
      </c>
      <c r="K39" s="1"/>
    </row>
    <row r="40" spans="1:11" x14ac:dyDescent="0.25">
      <c r="A40" s="3">
        <v>292.15002954006098</v>
      </c>
      <c r="B40" s="3">
        <v>0.77483683024466599</v>
      </c>
      <c r="C40" s="3">
        <v>0.44797188057840698</v>
      </c>
      <c r="D40" s="3">
        <v>0.483007342446645</v>
      </c>
      <c r="E40" s="3">
        <v>0.25540012035659299</v>
      </c>
      <c r="K40" s="1"/>
    </row>
    <row r="41" spans="1:11" x14ac:dyDescent="0.25">
      <c r="A41" s="3">
        <v>319.43101242184599</v>
      </c>
      <c r="B41" s="3">
        <v>0.652838546962621</v>
      </c>
      <c r="C41" s="3">
        <v>0.39470165035049398</v>
      </c>
      <c r="D41" s="3">
        <v>0.40862954278144198</v>
      </c>
      <c r="E41" s="3">
        <v>0.188355846590332</v>
      </c>
      <c r="K41" s="1"/>
    </row>
    <row r="42" spans="1:11" x14ac:dyDescent="0.25">
      <c r="A42" s="3">
        <v>349.16732590645501</v>
      </c>
      <c r="B42" s="3">
        <v>0.54982289878193003</v>
      </c>
      <c r="C42" s="3">
        <v>0.35126078103154301</v>
      </c>
      <c r="D42" s="3">
        <v>0.35068174061123802</v>
      </c>
      <c r="E42" s="3">
        <v>0.11430673171611599</v>
      </c>
      <c r="K42" s="1"/>
    </row>
    <row r="43" spans="1:11" x14ac:dyDescent="0.25">
      <c r="A43" s="3">
        <v>379.83785875141598</v>
      </c>
      <c r="B43" s="3">
        <v>0.49304538266137499</v>
      </c>
      <c r="C43" s="3">
        <v>0.32687741535232101</v>
      </c>
      <c r="D43" s="3">
        <v>0.31962785608202698</v>
      </c>
      <c r="E43" s="3">
        <v>3.77371458220968E-2</v>
      </c>
      <c r="K43" s="1"/>
    </row>
    <row r="44" spans="1:11" x14ac:dyDescent="0.25">
      <c r="A44" s="3"/>
      <c r="B44" s="3"/>
      <c r="C44" s="3"/>
      <c r="D44" s="3"/>
      <c r="E44" s="3"/>
      <c r="K44" s="1"/>
    </row>
    <row r="45" spans="1:11" x14ac:dyDescent="0.25">
      <c r="A45" s="3"/>
      <c r="B45" s="3"/>
      <c r="C45" s="3"/>
      <c r="D45" s="3"/>
      <c r="E45" s="3"/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382</v>
      </c>
      <c r="B1" t="s">
        <v>390</v>
      </c>
      <c r="C1" t="s">
        <v>471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 s="3">
        <v>0.49376130104064903</v>
      </c>
      <c r="B2" s="3">
        <v>0.19242444621672999</v>
      </c>
      <c r="C2" s="1">
        <v>1.06463370805329E-6</v>
      </c>
      <c r="D2" s="3">
        <f>-B2-C2</f>
        <v>-0.19242551085043805</v>
      </c>
      <c r="F2" s="1"/>
      <c r="G2" s="2">
        <f>D2-A2*(D3-D2)/(A3-A2)</f>
        <v>-0.19807498993908162</v>
      </c>
      <c r="H2" s="1">
        <f>DNS!D1636</f>
        <v>-0.220577</v>
      </c>
      <c r="I2" s="1">
        <f>100*(H2-G2)/H2</f>
        <v>10.201430820492785</v>
      </c>
    </row>
    <row r="3" spans="1:9" x14ac:dyDescent="0.25">
      <c r="A3" s="3">
        <v>1.5257111191749499</v>
      </c>
      <c r="B3" s="3">
        <v>0.180602741890075</v>
      </c>
      <c r="C3" s="1">
        <v>1.54869684531157E-5</v>
      </c>
      <c r="D3" s="3">
        <f t="shared" ref="D3:D43" si="0">-B3-C3</f>
        <v>-0.1806182288585281</v>
      </c>
    </row>
    <row r="4" spans="1:9" x14ac:dyDescent="0.25">
      <c r="A4" s="3">
        <v>2.6505178213119498</v>
      </c>
      <c r="B4" s="3">
        <v>0.16868790670165201</v>
      </c>
      <c r="C4" s="1">
        <v>7.0621654590022906E-5</v>
      </c>
      <c r="D4" s="3">
        <f t="shared" si="0"/>
        <v>-0.16875852835624203</v>
      </c>
    </row>
    <row r="5" spans="1:9" x14ac:dyDescent="0.25">
      <c r="A5" s="3">
        <v>3.8765159249305698</v>
      </c>
      <c r="B5" s="3">
        <v>0.15328938570804099</v>
      </c>
      <c r="C5" s="3">
        <v>1.66722653280205E-4</v>
      </c>
      <c r="D5" s="3">
        <f t="shared" si="0"/>
        <v>-0.1534561083613212</v>
      </c>
    </row>
    <row r="6" spans="1:9" x14ac:dyDescent="0.25">
      <c r="A6" s="3">
        <v>5.2129346132278398</v>
      </c>
      <c r="B6" s="3">
        <v>0.135062220037657</v>
      </c>
      <c r="C6" s="3">
        <v>3.2933873260009797E-4</v>
      </c>
      <c r="D6" s="3">
        <f t="shared" si="0"/>
        <v>-0.1353915587702571</v>
      </c>
    </row>
    <row r="7" spans="1:9" x14ac:dyDescent="0.25">
      <c r="A7" s="3">
        <v>6.6695916652679399</v>
      </c>
      <c r="B7" s="3">
        <v>0.118759716305175</v>
      </c>
      <c r="C7" s="3">
        <v>8.6763136390318905E-4</v>
      </c>
      <c r="D7" s="3">
        <f t="shared" si="0"/>
        <v>-0.11962734766907819</v>
      </c>
    </row>
    <row r="8" spans="1:9" x14ac:dyDescent="0.25">
      <c r="A8" s="3">
        <v>8.2573878765106201</v>
      </c>
      <c r="B8" s="3">
        <v>0.108968163156882</v>
      </c>
      <c r="C8" s="3">
        <v>2.59872153944378E-3</v>
      </c>
      <c r="D8" s="3">
        <f t="shared" si="0"/>
        <v>-0.11156688469632578</v>
      </c>
    </row>
    <row r="9" spans="1:9" x14ac:dyDescent="0.25">
      <c r="A9" s="3">
        <v>9.9880245327949506</v>
      </c>
      <c r="B9" s="3">
        <v>0.105807706609963</v>
      </c>
      <c r="C9" s="3">
        <v>5.75574581940691E-3</v>
      </c>
      <c r="D9" s="3">
        <f t="shared" si="0"/>
        <v>-0.11156345242936991</v>
      </c>
    </row>
    <row r="10" spans="1:9" x14ac:dyDescent="0.25">
      <c r="A10" s="3">
        <v>11.874474287032999</v>
      </c>
      <c r="B10" s="3">
        <v>0.105690821937667</v>
      </c>
      <c r="C10" s="3">
        <v>8.6171963260817195E-3</v>
      </c>
      <c r="D10" s="3">
        <f t="shared" si="0"/>
        <v>-0.11430801826374873</v>
      </c>
    </row>
    <row r="11" spans="1:9" x14ac:dyDescent="0.25">
      <c r="A11" s="3">
        <v>13.9306750893592</v>
      </c>
      <c r="B11" s="3">
        <v>0.104907246914441</v>
      </c>
      <c r="C11" s="3">
        <v>9.4644304968170105E-3</v>
      </c>
      <c r="D11" s="3">
        <f t="shared" si="0"/>
        <v>-0.11437167741125802</v>
      </c>
    </row>
    <row r="12" spans="1:9" x14ac:dyDescent="0.25">
      <c r="A12" s="3">
        <v>16.171883344650201</v>
      </c>
      <c r="B12" s="3">
        <v>0.101703367297025</v>
      </c>
      <c r="C12" s="3">
        <v>8.4427994560142602E-3</v>
      </c>
      <c r="D12" s="3">
        <f t="shared" si="0"/>
        <v>-0.11014616675303926</v>
      </c>
    </row>
    <row r="13" spans="1:9" x14ac:dyDescent="0.25">
      <c r="A13" s="3">
        <v>18.614838719367899</v>
      </c>
      <c r="B13" s="3">
        <v>9.6141827368833296E-2</v>
      </c>
      <c r="C13" s="3">
        <v>6.67786955885787E-3</v>
      </c>
      <c r="D13" s="3">
        <f t="shared" si="0"/>
        <v>-0.10281969692769116</v>
      </c>
    </row>
    <row r="14" spans="1:9" x14ac:dyDescent="0.25">
      <c r="A14" s="3">
        <v>21.2777170538902</v>
      </c>
      <c r="B14" s="3">
        <v>8.9106891899670596E-2</v>
      </c>
      <c r="C14" s="3">
        <v>5.0629999517726402E-3</v>
      </c>
      <c r="D14" s="3">
        <f t="shared" si="0"/>
        <v>-9.4169891851443241E-2</v>
      </c>
    </row>
    <row r="15" spans="1:9" x14ac:dyDescent="0.25">
      <c r="A15" s="3">
        <v>24.180224537849401</v>
      </c>
      <c r="B15" s="3">
        <v>8.1524393080574603E-2</v>
      </c>
      <c r="C15" s="3">
        <v>3.9720292858649899E-3</v>
      </c>
      <c r="D15" s="3">
        <f t="shared" si="0"/>
        <v>-8.5496422366439589E-2</v>
      </c>
    </row>
    <row r="16" spans="1:9" x14ac:dyDescent="0.25">
      <c r="A16" s="3">
        <v>27.343950867652801</v>
      </c>
      <c r="B16" s="3">
        <v>7.40401800974647E-2</v>
      </c>
      <c r="C16" s="3">
        <v>3.44177757536193E-3</v>
      </c>
      <c r="D16" s="3">
        <f t="shared" si="0"/>
        <v>-7.7481957672826632E-2</v>
      </c>
    </row>
    <row r="17" spans="1:16" x14ac:dyDescent="0.25">
      <c r="A17" s="3">
        <v>30.7923927903175</v>
      </c>
      <c r="B17" s="3">
        <v>6.6991846255263596E-2</v>
      </c>
      <c r="C17" s="3">
        <v>3.3745128239273101E-3</v>
      </c>
      <c r="D17" s="3">
        <f t="shared" si="0"/>
        <v>-7.0366359079190907E-2</v>
      </c>
    </row>
    <row r="18" spans="1:16" x14ac:dyDescent="0.25">
      <c r="A18" s="3">
        <v>34.551213085651298</v>
      </c>
      <c r="B18" s="3">
        <v>6.0502077312805901E-2</v>
      </c>
      <c r="C18" s="3">
        <v>3.6335167209079599E-3</v>
      </c>
      <c r="D18" s="3">
        <f t="shared" si="0"/>
        <v>-6.4135594033713855E-2</v>
      </c>
    </row>
    <row r="19" spans="1:16" x14ac:dyDescent="0.25">
      <c r="A19" s="3">
        <v>38.6483111977577</v>
      </c>
      <c r="B19" s="3">
        <v>5.4576011074373099E-2</v>
      </c>
      <c r="C19" s="3">
        <v>4.0668921722952301E-3</v>
      </c>
      <c r="D19" s="3">
        <f t="shared" si="0"/>
        <v>-5.8642903246668328E-2</v>
      </c>
    </row>
    <row r="20" spans="1:16" x14ac:dyDescent="0.25">
      <c r="A20" s="3">
        <v>43.1141293048858</v>
      </c>
      <c r="B20" s="3">
        <v>4.9177881315825497E-2</v>
      </c>
      <c r="C20" s="3">
        <v>4.5348055169795601E-3</v>
      </c>
      <c r="D20" s="3">
        <f t="shared" si="0"/>
        <v>-5.3712686832805057E-2</v>
      </c>
    </row>
    <row r="21" spans="1:16" x14ac:dyDescent="0.25">
      <c r="A21" s="3">
        <v>47.981887757778097</v>
      </c>
      <c r="B21" s="3">
        <v>4.4263121816272497E-2</v>
      </c>
      <c r="C21" s="3">
        <v>4.9267993959183597E-3</v>
      </c>
      <c r="D21" s="3">
        <f t="shared" si="0"/>
        <v>-4.918992121219086E-2</v>
      </c>
    </row>
    <row r="22" spans="1:16" x14ac:dyDescent="0.25">
      <c r="A22" s="3">
        <v>53.287820518016801</v>
      </c>
      <c r="B22" s="3">
        <v>3.9769774679606601E-2</v>
      </c>
      <c r="C22" s="3">
        <v>5.1733375263637504E-3</v>
      </c>
      <c r="D22" s="3">
        <f t="shared" si="0"/>
        <v>-4.4943112205970352E-2</v>
      </c>
    </row>
    <row r="23" spans="1:16" x14ac:dyDescent="0.25">
      <c r="A23" s="3">
        <v>59.071175158023799</v>
      </c>
      <c r="B23" s="3">
        <v>3.567028170626E-2</v>
      </c>
      <c r="C23" s="3">
        <v>5.24748850881E-3</v>
      </c>
      <c r="D23" s="3">
        <f t="shared" si="0"/>
        <v>-4.0917770215070003E-2</v>
      </c>
    </row>
    <row r="24" spans="1:16" x14ac:dyDescent="0.25">
      <c r="A24" s="3">
        <v>65.375131070613804</v>
      </c>
      <c r="B24" s="3">
        <v>3.1954045058832599E-2</v>
      </c>
      <c r="C24" s="3">
        <v>5.15966782062859E-3</v>
      </c>
      <c r="D24" s="3">
        <f t="shared" si="0"/>
        <v>-3.7113712879461191E-2</v>
      </c>
    </row>
    <row r="25" spans="1:16" x14ac:dyDescent="0.25">
      <c r="A25" s="3">
        <v>72.246375679969702</v>
      </c>
      <c r="B25" s="3">
        <v>2.8592396737273099E-2</v>
      </c>
      <c r="C25" s="3">
        <v>4.93696896321407E-3</v>
      </c>
      <c r="D25" s="3">
        <f t="shared" si="0"/>
        <v>-3.3529365700487167E-2</v>
      </c>
    </row>
    <row r="26" spans="1:16" x14ac:dyDescent="0.25">
      <c r="A26" s="3">
        <v>79.736069738864799</v>
      </c>
      <c r="B26" s="3">
        <v>2.5547945850962001E-2</v>
      </c>
      <c r="C26" s="3">
        <v>4.6286572867574299E-3</v>
      </c>
      <c r="D26" s="3">
        <f t="shared" si="0"/>
        <v>-3.0176603137719429E-2</v>
      </c>
    </row>
    <row r="27" spans="1:16" x14ac:dyDescent="0.25">
      <c r="A27" s="3">
        <v>87.899753153324099</v>
      </c>
      <c r="B27" s="3">
        <v>2.2791613939414899E-2</v>
      </c>
      <c r="C27" s="3">
        <v>4.2654171295015003E-3</v>
      </c>
      <c r="D27" s="3">
        <f t="shared" si="0"/>
        <v>-2.7057031068916399E-2</v>
      </c>
    </row>
    <row r="28" spans="1:16" x14ac:dyDescent="0.25">
      <c r="A28" s="3">
        <v>96.798263192176805</v>
      </c>
      <c r="B28" s="3">
        <v>2.0308014460067001E-2</v>
      </c>
      <c r="C28" s="3">
        <v>3.8876304941516601E-3</v>
      </c>
      <c r="D28" s="3">
        <f t="shared" si="0"/>
        <v>-2.4195644954218661E-2</v>
      </c>
    </row>
    <row r="29" spans="1:16" x14ac:dyDescent="0.25">
      <c r="A29" s="3">
        <v>106.497616767883</v>
      </c>
      <c r="B29" s="3">
        <v>1.8063852899009799E-2</v>
      </c>
      <c r="C29" s="3">
        <v>3.5140440267143599E-3</v>
      </c>
      <c r="D29" s="3">
        <f t="shared" si="0"/>
        <v>-2.157789692572416E-2</v>
      </c>
    </row>
    <row r="30" spans="1:16" x14ac:dyDescent="0.25">
      <c r="A30" s="3">
        <v>117.06990510225199</v>
      </c>
      <c r="B30" s="3">
        <v>1.6024378284246701E-2</v>
      </c>
      <c r="C30" s="3">
        <v>3.14904093769821E-3</v>
      </c>
      <c r="D30" s="3">
        <f t="shared" si="0"/>
        <v>-1.9173419221944911E-2</v>
      </c>
    </row>
    <row r="31" spans="1:16" x14ac:dyDescent="0.25">
      <c r="A31" s="3">
        <v>128.593670427799</v>
      </c>
      <c r="B31" s="3">
        <v>1.41685667820998E-2</v>
      </c>
      <c r="C31" s="3">
        <v>2.7973348134904298E-3</v>
      </c>
      <c r="D31" s="3">
        <f t="shared" si="0"/>
        <v>-1.6965901595590228E-2</v>
      </c>
    </row>
    <row r="32" spans="1:16" x14ac:dyDescent="0.25">
      <c r="A32" s="3">
        <v>141.15461230278001</v>
      </c>
      <c r="B32" s="3">
        <v>1.24725156940464E-2</v>
      </c>
      <c r="C32" s="3">
        <v>2.4625710166634699E-3</v>
      </c>
      <c r="D32" s="3">
        <f t="shared" si="0"/>
        <v>-1.493508671070987E-2</v>
      </c>
      <c r="L32" s="1"/>
      <c r="M32" s="1"/>
      <c r="P32" s="1"/>
    </row>
    <row r="33" spans="1:16" x14ac:dyDescent="0.25">
      <c r="A33" s="3">
        <v>154.84601140022201</v>
      </c>
      <c r="B33" s="3">
        <v>1.0910063774845E-2</v>
      </c>
      <c r="C33" s="3">
        <v>2.1502632825162898E-3</v>
      </c>
      <c r="D33" s="3">
        <f t="shared" si="0"/>
        <v>-1.3060327057361289E-2</v>
      </c>
      <c r="L33" s="1"/>
      <c r="M33" s="1"/>
    </row>
    <row r="34" spans="1:16" x14ac:dyDescent="0.25">
      <c r="A34" s="3">
        <v>169.76969480514501</v>
      </c>
      <c r="B34" s="3">
        <v>9.4573730754840303E-3</v>
      </c>
      <c r="C34" s="3">
        <v>1.8585205464655E-3</v>
      </c>
      <c r="D34" s="3">
        <f t="shared" si="0"/>
        <v>-1.1315893621949531E-2</v>
      </c>
      <c r="K34" s="1"/>
      <c r="L34" s="1"/>
      <c r="M34" s="1"/>
      <c r="N34" s="1"/>
    </row>
    <row r="35" spans="1:16" x14ac:dyDescent="0.25">
      <c r="A35" s="3">
        <v>186.03645980358101</v>
      </c>
      <c r="B35" s="3">
        <v>8.1010494583404601E-3</v>
      </c>
      <c r="C35" s="3">
        <v>1.5752758237227401E-3</v>
      </c>
      <c r="D35" s="3">
        <f t="shared" si="0"/>
        <v>-9.6763252820632004E-3</v>
      </c>
      <c r="L35" s="1"/>
    </row>
    <row r="36" spans="1:16" x14ac:dyDescent="0.25">
      <c r="A36" s="3">
        <v>203.76720398664401</v>
      </c>
      <c r="B36" s="3">
        <v>6.8436439318099902E-3</v>
      </c>
      <c r="C36" s="3">
        <v>1.31377556451422E-3</v>
      </c>
      <c r="D36" s="3">
        <f t="shared" si="0"/>
        <v>-8.15741949632421E-3</v>
      </c>
      <c r="L36" s="1"/>
      <c r="M36" s="1"/>
    </row>
    <row r="37" spans="1:16" x14ac:dyDescent="0.25">
      <c r="A37" s="3">
        <v>223.09376105666101</v>
      </c>
      <c r="B37" s="3">
        <v>5.68355843875268E-3</v>
      </c>
      <c r="C37" s="3">
        <v>1.0758617860270501E-3</v>
      </c>
      <c r="D37" s="3">
        <f t="shared" si="0"/>
        <v>-6.7594202247797299E-3</v>
      </c>
      <c r="L37" s="1"/>
      <c r="N37" s="2"/>
      <c r="O37" s="2"/>
      <c r="P37" s="1"/>
    </row>
    <row r="38" spans="1:16" x14ac:dyDescent="0.25">
      <c r="A38" s="3">
        <v>244.15970131754801</v>
      </c>
      <c r="B38" s="3">
        <v>4.615915440027E-3</v>
      </c>
      <c r="C38" s="3">
        <v>8.5476188084338705E-4</v>
      </c>
      <c r="D38" s="3">
        <f t="shared" si="0"/>
        <v>-5.4706773208703869E-3</v>
      </c>
      <c r="N38" s="2"/>
      <c r="O38" s="2"/>
      <c r="P38" s="1"/>
    </row>
    <row r="39" spans="1:16" x14ac:dyDescent="0.25">
      <c r="A39" s="3">
        <v>267.12157949805197</v>
      </c>
      <c r="B39" s="3">
        <v>3.6634824753054998E-3</v>
      </c>
      <c r="C39" s="3">
        <v>6.5518616522389401E-4</v>
      </c>
      <c r="D39" s="3">
        <f t="shared" si="0"/>
        <v>-4.3186686405293937E-3</v>
      </c>
      <c r="O39" s="1"/>
    </row>
    <row r="40" spans="1:16" x14ac:dyDescent="0.25">
      <c r="A40" s="3">
        <v>292.15002954006098</v>
      </c>
      <c r="B40" s="3">
        <v>2.8430789720797099E-3</v>
      </c>
      <c r="C40" s="3">
        <v>4.78947361311894E-4</v>
      </c>
      <c r="D40" s="3">
        <f t="shared" si="0"/>
        <v>-3.3220263333916039E-3</v>
      </c>
    </row>
    <row r="41" spans="1:16" x14ac:dyDescent="0.25">
      <c r="A41" s="3">
        <v>319.43101242184599</v>
      </c>
      <c r="B41" s="3">
        <v>2.1826576245053998E-3</v>
      </c>
      <c r="C41" s="3">
        <v>3.3647755801455298E-4</v>
      </c>
      <c r="D41" s="3">
        <f t="shared" si="0"/>
        <v>-2.5191351825199527E-3</v>
      </c>
    </row>
    <row r="42" spans="1:16" x14ac:dyDescent="0.25">
      <c r="A42" s="3">
        <v>349.16732590645501</v>
      </c>
      <c r="B42" s="3">
        <v>1.7305156335276301E-3</v>
      </c>
      <c r="C42" s="3">
        <v>2.3669873702731399E-4</v>
      </c>
      <c r="D42" s="3">
        <f t="shared" si="0"/>
        <v>-1.967214370554944E-3</v>
      </c>
    </row>
    <row r="43" spans="1:16" x14ac:dyDescent="0.25">
      <c r="A43" s="3">
        <v>379.83785875141598</v>
      </c>
      <c r="B43" s="3">
        <v>1.4848801859591301E-3</v>
      </c>
      <c r="C43" s="3">
        <v>1.7725641273577699E-4</v>
      </c>
      <c r="D43" s="3">
        <f t="shared" si="0"/>
        <v>-1.6621365986949071E-3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B26" sqref="B26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7</v>
      </c>
    </row>
    <row r="2" spans="1:6" x14ac:dyDescent="0.25">
      <c r="A2" t="s">
        <v>7</v>
      </c>
      <c r="B2" s="1"/>
      <c r="C2" s="1"/>
      <c r="D2" s="1"/>
      <c r="E2" s="1"/>
    </row>
    <row r="3" spans="1:6" x14ac:dyDescent="0.25">
      <c r="A3" t="s">
        <v>8</v>
      </c>
      <c r="B3" s="1" t="s">
        <v>9</v>
      </c>
      <c r="C3" s="1"/>
      <c r="D3" s="1"/>
      <c r="E3" s="1"/>
    </row>
    <row r="4" spans="1:6" x14ac:dyDescent="0.25">
      <c r="A4" t="s">
        <v>8</v>
      </c>
      <c r="B4" s="1" t="s">
        <v>10</v>
      </c>
      <c r="C4" s="1" t="s">
        <v>11</v>
      </c>
      <c r="D4" s="1" t="s">
        <v>12</v>
      </c>
      <c r="E4" s="1" t="s">
        <v>9</v>
      </c>
    </row>
    <row r="5" spans="1:6" x14ac:dyDescent="0.25">
      <c r="A5" t="s">
        <v>8</v>
      </c>
      <c r="B5" s="1" t="s">
        <v>13</v>
      </c>
      <c r="C5" s="1" t="s">
        <v>14</v>
      </c>
      <c r="D5" s="1" t="s">
        <v>9</v>
      </c>
      <c r="E5" s="1"/>
    </row>
    <row r="6" spans="1:6" x14ac:dyDescent="0.25">
      <c r="A6" t="s">
        <v>8</v>
      </c>
      <c r="B6" s="1" t="s">
        <v>15</v>
      </c>
      <c r="C6" s="1" t="s">
        <v>16</v>
      </c>
      <c r="D6" s="1" t="s">
        <v>17</v>
      </c>
      <c r="E6" s="1" t="s">
        <v>18</v>
      </c>
      <c r="F6" t="s">
        <v>9</v>
      </c>
    </row>
    <row r="7" spans="1:6" x14ac:dyDescent="0.25">
      <c r="A7" t="s">
        <v>8</v>
      </c>
      <c r="B7" s="1" t="s">
        <v>19</v>
      </c>
      <c r="C7" s="1" t="s">
        <v>20</v>
      </c>
      <c r="D7" s="1" t="s">
        <v>21</v>
      </c>
      <c r="E7" s="1" t="s">
        <v>9</v>
      </c>
    </row>
    <row r="8" spans="1:6" x14ac:dyDescent="0.25">
      <c r="A8" t="s">
        <v>8</v>
      </c>
      <c r="B8" s="1" t="s">
        <v>9</v>
      </c>
      <c r="C8" s="1"/>
      <c r="D8" s="1"/>
      <c r="E8" s="1"/>
    </row>
    <row r="9" spans="1:6" x14ac:dyDescent="0.25">
      <c r="A9" t="s">
        <v>8</v>
      </c>
      <c r="B9" s="1" t="s">
        <v>9</v>
      </c>
      <c r="C9" s="1"/>
      <c r="D9" s="1"/>
      <c r="E9" s="1"/>
    </row>
    <row r="10" spans="1:6" x14ac:dyDescent="0.25">
      <c r="A10" t="s">
        <v>8</v>
      </c>
      <c r="B10" s="1" t="s">
        <v>22</v>
      </c>
      <c r="C10" s="1" t="s">
        <v>9</v>
      </c>
      <c r="D10" s="1"/>
      <c r="E10" s="1"/>
    </row>
    <row r="11" spans="1:6" x14ac:dyDescent="0.25">
      <c r="A11" t="s">
        <v>8</v>
      </c>
      <c r="B11" s="1" t="s">
        <v>9</v>
      </c>
      <c r="C11" s="1"/>
      <c r="D11" s="1"/>
      <c r="E11" s="1"/>
    </row>
    <row r="12" spans="1:6" x14ac:dyDescent="0.25">
      <c r="A12" t="s">
        <v>8</v>
      </c>
      <c r="B12" s="1" t="s">
        <v>23</v>
      </c>
      <c r="C12" s="1" t="s">
        <v>24</v>
      </c>
      <c r="D12" s="1" t="s">
        <v>9</v>
      </c>
      <c r="E12" s="1"/>
    </row>
    <row r="13" spans="1:6" x14ac:dyDescent="0.25">
      <c r="A13" t="s">
        <v>8</v>
      </c>
      <c r="B13" s="1" t="s">
        <v>9</v>
      </c>
      <c r="C13" s="1"/>
      <c r="D13" s="1"/>
      <c r="E13" s="1"/>
    </row>
    <row r="14" spans="1:6" x14ac:dyDescent="0.25">
      <c r="A14" t="s">
        <v>8</v>
      </c>
      <c r="B14" s="1" t="s">
        <v>25</v>
      </c>
      <c r="C14" s="1" t="s">
        <v>26</v>
      </c>
      <c r="D14" s="1" t="s">
        <v>27</v>
      </c>
      <c r="E14" s="1" t="s">
        <v>28</v>
      </c>
      <c r="F14" t="s">
        <v>9</v>
      </c>
    </row>
    <row r="15" spans="1:6" x14ac:dyDescent="0.25">
      <c r="A15" t="s">
        <v>8</v>
      </c>
      <c r="B15" s="1" t="s">
        <v>9</v>
      </c>
      <c r="C15" s="1"/>
      <c r="D15" s="1"/>
      <c r="E15" s="1"/>
    </row>
    <row r="16" spans="1:6" x14ac:dyDescent="0.25">
      <c r="A16" t="s">
        <v>8</v>
      </c>
      <c r="B16" s="1" t="s">
        <v>29</v>
      </c>
      <c r="C16" s="1" t="s">
        <v>26</v>
      </c>
      <c r="D16" s="1" t="s">
        <v>30</v>
      </c>
      <c r="E16" s="1" t="s">
        <v>31</v>
      </c>
      <c r="F16" t="s">
        <v>9</v>
      </c>
    </row>
    <row r="17" spans="1:10" x14ac:dyDescent="0.25">
      <c r="A17" t="s">
        <v>8</v>
      </c>
      <c r="B17" s="1" t="s">
        <v>32</v>
      </c>
      <c r="C17" s="1" t="s">
        <v>26</v>
      </c>
      <c r="D17" s="1" t="s">
        <v>33</v>
      </c>
      <c r="E17" s="1" t="s">
        <v>34</v>
      </c>
      <c r="F17" t="s">
        <v>35</v>
      </c>
      <c r="G17" t="s">
        <v>9</v>
      </c>
    </row>
    <row r="18" spans="1:10" x14ac:dyDescent="0.25">
      <c r="A18" t="s">
        <v>8</v>
      </c>
      <c r="B18" s="1" t="s">
        <v>36</v>
      </c>
      <c r="C18" s="1" t="s">
        <v>37</v>
      </c>
      <c r="D18" s="1" t="s">
        <v>26</v>
      </c>
      <c r="E18" s="1" t="s">
        <v>33</v>
      </c>
      <c r="F18" t="s">
        <v>9</v>
      </c>
    </row>
    <row r="19" spans="1:10" x14ac:dyDescent="0.25">
      <c r="A19" t="s">
        <v>8</v>
      </c>
      <c r="B19" s="1" t="s">
        <v>38</v>
      </c>
      <c r="C19" s="1" t="s">
        <v>39</v>
      </c>
      <c r="D19" s="1" t="s">
        <v>40</v>
      </c>
      <c r="E19" s="1" t="s">
        <v>9</v>
      </c>
    </row>
    <row r="20" spans="1:10" x14ac:dyDescent="0.25">
      <c r="A20" t="s">
        <v>8</v>
      </c>
      <c r="B20" s="1" t="s">
        <v>41</v>
      </c>
      <c r="C20" s="1" t="s">
        <v>9</v>
      </c>
      <c r="D20" s="1"/>
      <c r="E20" s="1"/>
    </row>
    <row r="21" spans="1:10" x14ac:dyDescent="0.25">
      <c r="A21" t="s">
        <v>8</v>
      </c>
      <c r="B21" s="1" t="s">
        <v>9</v>
      </c>
      <c r="C21" s="1"/>
      <c r="D21" s="1"/>
      <c r="E21" s="1"/>
    </row>
    <row r="22" spans="1:10" x14ac:dyDescent="0.25">
      <c r="A22" t="s">
        <v>8</v>
      </c>
      <c r="B22" s="1" t="s">
        <v>9</v>
      </c>
      <c r="C22" s="1"/>
      <c r="D22" s="1"/>
      <c r="E22" s="1"/>
    </row>
    <row r="23" spans="1:10" x14ac:dyDescent="0.25">
      <c r="A23" t="s">
        <v>8</v>
      </c>
      <c r="B23" s="1" t="s">
        <v>9</v>
      </c>
      <c r="C23" s="1"/>
      <c r="D23" s="1"/>
      <c r="E23" s="1"/>
    </row>
    <row r="24" spans="1:10" x14ac:dyDescent="0.25">
      <c r="A24" t="s">
        <v>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42</v>
      </c>
      <c r="B26" s="1"/>
      <c r="C26" s="1"/>
      <c r="D26" s="1"/>
      <c r="E26" s="1"/>
    </row>
    <row r="27" spans="1:10" x14ac:dyDescent="0.25">
      <c r="A27" t="s">
        <v>42</v>
      </c>
      <c r="B27" s="1"/>
      <c r="C27" s="1"/>
      <c r="D27" s="1"/>
      <c r="E27" s="1"/>
    </row>
    <row r="28" spans="1:10" x14ac:dyDescent="0.25">
      <c r="A28" t="s">
        <v>42</v>
      </c>
      <c r="B28" s="1"/>
      <c r="C28" s="1"/>
      <c r="D28" s="1"/>
      <c r="E28" s="1"/>
    </row>
    <row r="29" spans="1:10" x14ac:dyDescent="0.25">
      <c r="A29" t="s">
        <v>43</v>
      </c>
      <c r="B29" s="1" t="s">
        <v>44</v>
      </c>
      <c r="C29" s="1" t="s">
        <v>45</v>
      </c>
      <c r="D29" s="1" t="s">
        <v>44</v>
      </c>
      <c r="E29" s="1" t="s">
        <v>46</v>
      </c>
    </row>
    <row r="30" spans="1:10" x14ac:dyDescent="0.25">
      <c r="A30" t="s">
        <v>43</v>
      </c>
      <c r="B30" s="1" t="s">
        <v>46</v>
      </c>
      <c r="C30" s="1"/>
      <c r="D30" s="1"/>
      <c r="E30" s="1"/>
    </row>
    <row r="31" spans="1:10" x14ac:dyDescent="0.25">
      <c r="A31" t="s">
        <v>43</v>
      </c>
      <c r="B31" s="1" t="s">
        <v>47</v>
      </c>
      <c r="C31" s="1" t="s">
        <v>48</v>
      </c>
      <c r="D31" s="1" t="s">
        <v>49</v>
      </c>
      <c r="E31" s="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s="1" t="s">
        <v>46</v>
      </c>
      <c r="C32" s="1"/>
      <c r="D32" s="1"/>
      <c r="E32" s="1"/>
    </row>
    <row r="33" spans="1:12" x14ac:dyDescent="0.25">
      <c r="A33" t="s">
        <v>43</v>
      </c>
      <c r="B33" s="1" t="s">
        <v>47</v>
      </c>
      <c r="C33" s="1" t="s">
        <v>52</v>
      </c>
      <c r="D33" s="1" t="s">
        <v>55</v>
      </c>
      <c r="E33" s="1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s="1" t="s">
        <v>60</v>
      </c>
      <c r="C34" s="1" t="s">
        <v>52</v>
      </c>
      <c r="D34" s="1" t="s">
        <v>61</v>
      </c>
      <c r="E34" s="1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s="1" t="s">
        <v>66</v>
      </c>
      <c r="C35" s="1" t="s">
        <v>67</v>
      </c>
      <c r="D35" s="1" t="s">
        <v>68</v>
      </c>
      <c r="E35" s="1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s="1" t="s">
        <v>74</v>
      </c>
      <c r="C36" s="1" t="s">
        <v>75</v>
      </c>
      <c r="D36" s="1" t="s">
        <v>76</v>
      </c>
      <c r="E36" s="1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s="1" t="s">
        <v>80</v>
      </c>
      <c r="C37" s="1" t="s">
        <v>34</v>
      </c>
      <c r="D37" s="1" t="s">
        <v>81</v>
      </c>
      <c r="E37" s="1" t="s">
        <v>82</v>
      </c>
      <c r="F37" t="s">
        <v>83</v>
      </c>
      <c r="G37" t="s">
        <v>46</v>
      </c>
    </row>
    <row r="38" spans="1:12" x14ac:dyDescent="0.25">
      <c r="A38" t="s">
        <v>43</v>
      </c>
      <c r="B38" s="1" t="s">
        <v>46</v>
      </c>
      <c r="C38" s="1"/>
      <c r="D38" s="1"/>
      <c r="E38" s="1"/>
    </row>
    <row r="39" spans="1:12" x14ac:dyDescent="0.25">
      <c r="A39" t="s">
        <v>43</v>
      </c>
      <c r="B39" s="1" t="s">
        <v>84</v>
      </c>
      <c r="C39" s="1" t="s">
        <v>55</v>
      </c>
      <c r="D39" s="1" t="s">
        <v>56</v>
      </c>
      <c r="E39" s="1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s="1" t="s">
        <v>46</v>
      </c>
      <c r="C40" s="1"/>
      <c r="D40" s="1"/>
      <c r="E40" s="1"/>
    </row>
    <row r="41" spans="1:12" x14ac:dyDescent="0.25">
      <c r="A41" t="s">
        <v>43</v>
      </c>
      <c r="B41" s="1" t="s">
        <v>84</v>
      </c>
      <c r="C41" s="1" t="s">
        <v>55</v>
      </c>
      <c r="D41" s="1" t="s">
        <v>56</v>
      </c>
      <c r="E41" s="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s="1" t="s">
        <v>53</v>
      </c>
      <c r="C42" s="1" t="s">
        <v>92</v>
      </c>
      <c r="D42" s="1" t="s">
        <v>19</v>
      </c>
      <c r="E42" s="1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s="1" t="s">
        <v>98</v>
      </c>
      <c r="C43" s="1" t="s">
        <v>99</v>
      </c>
      <c r="D43" s="1" t="s">
        <v>67</v>
      </c>
      <c r="E43" s="1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s="1" t="s">
        <v>103</v>
      </c>
      <c r="C44" s="1" t="s">
        <v>104</v>
      </c>
      <c r="D44" s="1" t="s">
        <v>46</v>
      </c>
      <c r="E44" s="1"/>
    </row>
    <row r="45" spans="1:12" x14ac:dyDescent="0.25">
      <c r="A45" t="s">
        <v>43</v>
      </c>
      <c r="B45" s="1" t="s">
        <v>46</v>
      </c>
      <c r="C45" s="1"/>
      <c r="D45" s="1"/>
      <c r="E45" s="1"/>
    </row>
    <row r="46" spans="1:12" x14ac:dyDescent="0.25">
      <c r="A46" t="s">
        <v>43</v>
      </c>
      <c r="B46" s="1" t="s">
        <v>105</v>
      </c>
      <c r="C46" s="1" t="s">
        <v>106</v>
      </c>
      <c r="D46" s="1" t="s">
        <v>107</v>
      </c>
      <c r="E46" s="1" t="s">
        <v>108</v>
      </c>
      <c r="F46" t="s">
        <v>46</v>
      </c>
    </row>
    <row r="47" spans="1:12" x14ac:dyDescent="0.25">
      <c r="A47" t="s">
        <v>43</v>
      </c>
      <c r="B47" s="1" t="s">
        <v>46</v>
      </c>
      <c r="C47" s="1"/>
      <c r="D47" s="1"/>
      <c r="E47" s="1"/>
    </row>
    <row r="48" spans="1:12" x14ac:dyDescent="0.25">
      <c r="A48" t="s">
        <v>43</v>
      </c>
      <c r="B48" s="1" t="s">
        <v>109</v>
      </c>
      <c r="C48" s="1" t="s">
        <v>110</v>
      </c>
      <c r="D48" s="1">
        <v>2008</v>
      </c>
      <c r="E48" s="1" t="s">
        <v>46</v>
      </c>
    </row>
    <row r="49" spans="1:12" x14ac:dyDescent="0.25">
      <c r="A49" t="s">
        <v>42</v>
      </c>
      <c r="B49" s="1"/>
      <c r="C49" s="1"/>
      <c r="D49" s="1"/>
      <c r="E49" s="1"/>
    </row>
    <row r="50" spans="1:12" x14ac:dyDescent="0.25">
      <c r="A50" t="s">
        <v>42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111</v>
      </c>
      <c r="B52" s="1" t="s">
        <v>112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113</v>
      </c>
      <c r="B54" s="1" t="s">
        <v>26</v>
      </c>
      <c r="C54" s="1" t="s">
        <v>114</v>
      </c>
      <c r="D54" s="1" t="s">
        <v>109</v>
      </c>
      <c r="E54" s="1" t="s">
        <v>110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115</v>
      </c>
      <c r="B56" s="1" t="s">
        <v>116</v>
      </c>
      <c r="C56" s="1" t="s">
        <v>117</v>
      </c>
      <c r="D56" s="1" t="s">
        <v>118</v>
      </c>
      <c r="E56" s="1" t="s">
        <v>119</v>
      </c>
      <c r="F56" t="s">
        <v>120</v>
      </c>
      <c r="G56" t="s">
        <v>121</v>
      </c>
      <c r="H56" t="s">
        <v>122</v>
      </c>
      <c r="I56" t="s">
        <v>34</v>
      </c>
      <c r="J56" t="s">
        <v>123</v>
      </c>
      <c r="K56" t="s">
        <v>24</v>
      </c>
      <c r="L56" t="s">
        <v>122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122</v>
      </c>
      <c r="C58" s="1" t="s">
        <v>29</v>
      </c>
      <c r="D58" s="1" t="s">
        <v>26</v>
      </c>
      <c r="E58" s="1" t="s">
        <v>30</v>
      </c>
      <c r="F58" t="s">
        <v>31</v>
      </c>
    </row>
    <row r="59" spans="1:12" x14ac:dyDescent="0.25">
      <c r="B59" s="1" t="s">
        <v>32</v>
      </c>
      <c r="C59" s="1" t="s">
        <v>26</v>
      </c>
      <c r="D59" s="1" t="s">
        <v>33</v>
      </c>
      <c r="E59" s="1" t="s">
        <v>34</v>
      </c>
      <c r="F59" t="s">
        <v>35</v>
      </c>
    </row>
    <row r="60" spans="1:12" x14ac:dyDescent="0.25">
      <c r="B60" s="1" t="s">
        <v>36</v>
      </c>
      <c r="C60" s="1" t="s">
        <v>37</v>
      </c>
      <c r="D60" s="1" t="s">
        <v>26</v>
      </c>
      <c r="E60" s="1" t="s">
        <v>33</v>
      </c>
    </row>
    <row r="61" spans="1:12" x14ac:dyDescent="0.25">
      <c r="B61" s="1" t="s">
        <v>38</v>
      </c>
      <c r="C61" s="1" t="s">
        <v>39</v>
      </c>
      <c r="D61" s="1" t="s">
        <v>124</v>
      </c>
      <c r="E61" s="1" t="s">
        <v>41</v>
      </c>
    </row>
    <row r="62" spans="1:12" x14ac:dyDescent="0.25">
      <c r="B62" s="1" t="s">
        <v>125</v>
      </c>
      <c r="C62" s="1" t="s">
        <v>126</v>
      </c>
      <c r="D62" s="1" t="s">
        <v>127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128</v>
      </c>
      <c r="B64" s="1"/>
      <c r="C64" s="1"/>
      <c r="D64" s="1"/>
      <c r="E64" s="1"/>
    </row>
    <row r="65" spans="2:11" x14ac:dyDescent="0.25">
      <c r="B65" s="1" t="s">
        <v>129</v>
      </c>
      <c r="C65" s="1" t="s">
        <v>130</v>
      </c>
      <c r="D65" s="1" t="s">
        <v>131</v>
      </c>
      <c r="E65" s="1" t="s">
        <v>132</v>
      </c>
      <c r="F65" t="s">
        <v>133</v>
      </c>
    </row>
    <row r="66" spans="2:11" x14ac:dyDescent="0.25">
      <c r="B66" s="1" t="s">
        <v>6</v>
      </c>
      <c r="C66" s="1" t="s">
        <v>130</v>
      </c>
      <c r="D66" s="1" t="s">
        <v>134</v>
      </c>
      <c r="E66" s="1" t="s">
        <v>107</v>
      </c>
      <c r="F66" t="s">
        <v>135</v>
      </c>
      <c r="G66" t="s">
        <v>136</v>
      </c>
      <c r="H66" t="s">
        <v>137</v>
      </c>
    </row>
    <row r="67" spans="2:11" x14ac:dyDescent="0.25">
      <c r="B67" s="1" t="s">
        <v>138</v>
      </c>
      <c r="C67" s="1" t="s">
        <v>130</v>
      </c>
      <c r="D67" s="1" t="s">
        <v>139</v>
      </c>
      <c r="E67" s="1" t="s">
        <v>140</v>
      </c>
    </row>
    <row r="68" spans="2:11" x14ac:dyDescent="0.25">
      <c r="B68" s="1" t="s">
        <v>141</v>
      </c>
      <c r="C68" s="1" t="s">
        <v>130</v>
      </c>
      <c r="D68" s="1" t="s">
        <v>142</v>
      </c>
      <c r="E68" s="1" t="s">
        <v>107</v>
      </c>
      <c r="F68" t="s">
        <v>143</v>
      </c>
      <c r="G68" t="s">
        <v>144</v>
      </c>
    </row>
    <row r="69" spans="2:11" x14ac:dyDescent="0.25">
      <c r="B69" s="1" t="s">
        <v>145</v>
      </c>
      <c r="C69" s="1" t="s">
        <v>130</v>
      </c>
      <c r="D69" s="1" t="s">
        <v>146</v>
      </c>
      <c r="E69" s="1" t="s">
        <v>107</v>
      </c>
      <c r="F69" t="s">
        <v>143</v>
      </c>
      <c r="G69" t="s">
        <v>144</v>
      </c>
    </row>
    <row r="70" spans="2:11" x14ac:dyDescent="0.25">
      <c r="B70" s="1" t="s">
        <v>147</v>
      </c>
      <c r="C70" s="1" t="s">
        <v>130</v>
      </c>
      <c r="D70" s="1" t="s">
        <v>148</v>
      </c>
      <c r="E70" s="1"/>
    </row>
    <row r="71" spans="2:11" x14ac:dyDescent="0.25">
      <c r="B71" s="1" t="s">
        <v>149</v>
      </c>
      <c r="C71" s="1" t="s">
        <v>130</v>
      </c>
      <c r="D71" s="1" t="s">
        <v>150</v>
      </c>
      <c r="E71" s="1" t="s">
        <v>151</v>
      </c>
      <c r="F71" t="s">
        <v>152</v>
      </c>
    </row>
    <row r="72" spans="2:11" x14ac:dyDescent="0.25">
      <c r="B72" s="1" t="s">
        <v>153</v>
      </c>
      <c r="C72" s="1" t="s">
        <v>130</v>
      </c>
      <c r="D72" s="1" t="s">
        <v>154</v>
      </c>
      <c r="E72" s="1" t="s">
        <v>151</v>
      </c>
      <c r="F72" t="s">
        <v>152</v>
      </c>
    </row>
    <row r="73" spans="2:11" x14ac:dyDescent="0.25">
      <c r="B73" s="1" t="s">
        <v>155</v>
      </c>
      <c r="C73" s="1" t="s">
        <v>156</v>
      </c>
      <c r="D73" s="1" t="s">
        <v>157</v>
      </c>
      <c r="E73" s="1" t="s">
        <v>130</v>
      </c>
      <c r="F73" t="s">
        <v>158</v>
      </c>
      <c r="G73" t="s">
        <v>159</v>
      </c>
      <c r="H73" t="s">
        <v>34</v>
      </c>
      <c r="I73" t="s">
        <v>160</v>
      </c>
      <c r="J73" t="s">
        <v>152</v>
      </c>
      <c r="K73" t="s">
        <v>161</v>
      </c>
    </row>
    <row r="74" spans="2:11" x14ac:dyDescent="0.25">
      <c r="B74" s="1" t="s">
        <v>162</v>
      </c>
      <c r="C74" s="1" t="s">
        <v>130</v>
      </c>
      <c r="D74" s="1" t="s">
        <v>163</v>
      </c>
      <c r="E74" s="1" t="s">
        <v>164</v>
      </c>
      <c r="F74" t="s">
        <v>26</v>
      </c>
      <c r="G74" t="s">
        <v>152</v>
      </c>
      <c r="H74" t="s">
        <v>161</v>
      </c>
    </row>
    <row r="75" spans="2:11" x14ac:dyDescent="0.25">
      <c r="B75" s="1" t="s">
        <v>165</v>
      </c>
      <c r="C75" s="1" t="s">
        <v>130</v>
      </c>
      <c r="D75" s="1" t="s">
        <v>166</v>
      </c>
      <c r="E75" s="1" t="s">
        <v>152</v>
      </c>
    </row>
    <row r="76" spans="2:11" x14ac:dyDescent="0.25">
      <c r="B76" s="1" t="s">
        <v>167</v>
      </c>
      <c r="C76" s="1" t="s">
        <v>168</v>
      </c>
      <c r="D76" s="1" t="s">
        <v>169</v>
      </c>
      <c r="E76" s="1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170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171</v>
      </c>
      <c r="C78" s="1" t="s">
        <v>130</v>
      </c>
      <c r="D78" s="1" t="s">
        <v>172</v>
      </c>
      <c r="E78" s="1" t="s">
        <v>51</v>
      </c>
      <c r="F78" t="s">
        <v>5</v>
      </c>
      <c r="G78" t="s">
        <v>173</v>
      </c>
      <c r="H78" t="s">
        <v>174</v>
      </c>
      <c r="I78" t="s">
        <v>138</v>
      </c>
      <c r="J78" t="s">
        <v>34</v>
      </c>
      <c r="K78" t="s">
        <v>175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176</v>
      </c>
      <c r="C81" s="1"/>
      <c r="D81" s="1"/>
      <c r="E81" s="1"/>
    </row>
    <row r="82" spans="1:13" x14ac:dyDescent="0.25">
      <c r="B82" s="1" t="s">
        <v>10</v>
      </c>
      <c r="C82" s="1" t="s">
        <v>81</v>
      </c>
      <c r="D82" s="1" t="s">
        <v>177</v>
      </c>
      <c r="E82" s="1" t="s">
        <v>178</v>
      </c>
      <c r="F82" t="s">
        <v>26</v>
      </c>
      <c r="G82" t="s">
        <v>179</v>
      </c>
      <c r="H82" t="s">
        <v>180</v>
      </c>
      <c r="I82" t="s">
        <v>181</v>
      </c>
      <c r="J82" t="s">
        <v>182</v>
      </c>
      <c r="K82" t="s">
        <v>183</v>
      </c>
    </row>
    <row r="83" spans="1:13" x14ac:dyDescent="0.25">
      <c r="B83" s="1" t="s">
        <v>84</v>
      </c>
      <c r="C83" s="1" t="s">
        <v>184</v>
      </c>
      <c r="D83" s="1" t="s">
        <v>185</v>
      </c>
      <c r="E83" s="1" t="s">
        <v>97</v>
      </c>
      <c r="F83" t="s">
        <v>73</v>
      </c>
      <c r="G83" t="s">
        <v>186</v>
      </c>
      <c r="H83" t="s">
        <v>187</v>
      </c>
      <c r="I83" t="s">
        <v>135</v>
      </c>
      <c r="J83" t="s">
        <v>131</v>
      </c>
      <c r="K83" t="s">
        <v>185</v>
      </c>
      <c r="L83" t="s">
        <v>188</v>
      </c>
      <c r="M83" t="s">
        <v>51</v>
      </c>
    </row>
    <row r="84" spans="1:13" x14ac:dyDescent="0.25">
      <c r="B84" s="1" t="s">
        <v>73</v>
      </c>
      <c r="C84" s="1" t="s">
        <v>154</v>
      </c>
      <c r="D84" s="1" t="s">
        <v>151</v>
      </c>
      <c r="E84" s="1" t="s">
        <v>189</v>
      </c>
      <c r="F84" t="s">
        <v>190</v>
      </c>
    </row>
    <row r="85" spans="1:13" x14ac:dyDescent="0.25">
      <c r="B85" s="1" t="s">
        <v>191</v>
      </c>
      <c r="C85" s="1" t="s">
        <v>192</v>
      </c>
      <c r="D85" s="1" t="s">
        <v>97</v>
      </c>
      <c r="E85" s="1" t="s">
        <v>76</v>
      </c>
      <c r="F85" t="s">
        <v>60</v>
      </c>
      <c r="G85" t="s">
        <v>52</v>
      </c>
      <c r="H85" t="s">
        <v>154</v>
      </c>
      <c r="I85" t="s">
        <v>34</v>
      </c>
      <c r="J85" t="s">
        <v>160</v>
      </c>
      <c r="K85" t="s">
        <v>193</v>
      </c>
    </row>
    <row r="86" spans="1:13" x14ac:dyDescent="0.25">
      <c r="B86" s="1" t="s">
        <v>194</v>
      </c>
      <c r="C86" s="1" t="s">
        <v>97</v>
      </c>
      <c r="D86" s="1" t="s">
        <v>195</v>
      </c>
      <c r="E86" s="1" t="s">
        <v>196</v>
      </c>
      <c r="F86" t="s">
        <v>52</v>
      </c>
      <c r="G86" t="s">
        <v>197</v>
      </c>
      <c r="H86" t="s">
        <v>34</v>
      </c>
      <c r="I86" t="s">
        <v>198</v>
      </c>
      <c r="J86" t="s">
        <v>199</v>
      </c>
    </row>
    <row r="87" spans="1:13" x14ac:dyDescent="0.25">
      <c r="B87" s="1" t="s">
        <v>200</v>
      </c>
      <c r="C87" s="1" t="s">
        <v>201</v>
      </c>
      <c r="D87" s="1" t="s">
        <v>49</v>
      </c>
      <c r="E87" s="1" t="s">
        <v>94</v>
      </c>
      <c r="F87" t="s">
        <v>202</v>
      </c>
      <c r="G87" t="s">
        <v>52</v>
      </c>
      <c r="H87" t="s">
        <v>203</v>
      </c>
      <c r="I87" t="s">
        <v>204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205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206</v>
      </c>
      <c r="B92" s="1" t="s">
        <v>207</v>
      </c>
      <c r="C92" s="1" t="s">
        <v>208</v>
      </c>
      <c r="D92" s="1" t="s">
        <v>209</v>
      </c>
      <c r="E92" s="1" t="s">
        <v>210</v>
      </c>
      <c r="F92" t="s">
        <v>34</v>
      </c>
      <c r="G92" t="s">
        <v>211</v>
      </c>
      <c r="H92" t="s">
        <v>212</v>
      </c>
    </row>
    <row r="93" spans="1:13" x14ac:dyDescent="0.25">
      <c r="B93" s="1" t="s">
        <v>213</v>
      </c>
      <c r="C93" s="1"/>
      <c r="D93" s="1"/>
      <c r="E93" s="1"/>
    </row>
    <row r="94" spans="1:13" x14ac:dyDescent="0.25">
      <c r="B94" s="1" t="s">
        <v>19</v>
      </c>
      <c r="C94" s="1" t="s">
        <v>73</v>
      </c>
      <c r="D94" s="1" t="s">
        <v>214</v>
      </c>
      <c r="E94" s="1" t="s">
        <v>215</v>
      </c>
      <c r="F94" t="s">
        <v>216</v>
      </c>
      <c r="G94" t="s">
        <v>217</v>
      </c>
      <c r="H94" t="s">
        <v>26</v>
      </c>
      <c r="I94" t="s">
        <v>52</v>
      </c>
      <c r="J94" t="s">
        <v>218</v>
      </c>
      <c r="K94" t="s">
        <v>219</v>
      </c>
      <c r="L94" t="s">
        <v>220</v>
      </c>
    </row>
    <row r="95" spans="1:13" x14ac:dyDescent="0.25">
      <c r="B95" s="1" t="s">
        <v>60</v>
      </c>
      <c r="C95" s="1" t="s">
        <v>31</v>
      </c>
      <c r="D95" s="1" t="s">
        <v>221</v>
      </c>
      <c r="E95" s="1" t="s">
        <v>222</v>
      </c>
      <c r="F95" t="s">
        <v>34</v>
      </c>
      <c r="G95" t="s">
        <v>223</v>
      </c>
      <c r="H95" t="s">
        <v>224</v>
      </c>
      <c r="I95" t="s">
        <v>225</v>
      </c>
      <c r="J95" t="s">
        <v>226</v>
      </c>
      <c r="K95" t="s">
        <v>227</v>
      </c>
      <c r="L95" t="s">
        <v>228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229</v>
      </c>
      <c r="B97" s="1" t="s">
        <v>230</v>
      </c>
      <c r="C97" s="1" t="s">
        <v>212</v>
      </c>
      <c r="D97" s="1" t="s">
        <v>211</v>
      </c>
      <c r="E97" s="1" t="s">
        <v>23</v>
      </c>
      <c r="F97" t="s">
        <v>34</v>
      </c>
      <c r="G97" t="s">
        <v>231</v>
      </c>
      <c r="H97" t="s">
        <v>232</v>
      </c>
    </row>
    <row r="98" spans="1:12" x14ac:dyDescent="0.25">
      <c r="B98" s="1" t="s">
        <v>233</v>
      </c>
      <c r="C98" s="1"/>
      <c r="D98" s="1"/>
      <c r="E98" s="1"/>
    </row>
    <row r="99" spans="1:12" x14ac:dyDescent="0.25">
      <c r="B99" s="1" t="s">
        <v>19</v>
      </c>
      <c r="C99" s="1" t="s">
        <v>234</v>
      </c>
      <c r="D99" s="1" t="s">
        <v>91</v>
      </c>
      <c r="E99" s="1" t="s">
        <v>143</v>
      </c>
      <c r="F99" t="s">
        <v>144</v>
      </c>
      <c r="G99" t="s">
        <v>235</v>
      </c>
    </row>
    <row r="100" spans="1:12" x14ac:dyDescent="0.25">
      <c r="B100" s="1" t="s">
        <v>236</v>
      </c>
      <c r="C100" s="1" t="s">
        <v>237</v>
      </c>
      <c r="D100" s="1" t="s">
        <v>238</v>
      </c>
      <c r="E100" s="1" t="s">
        <v>239</v>
      </c>
      <c r="F100" t="s">
        <v>225</v>
      </c>
      <c r="G100" t="s">
        <v>240</v>
      </c>
      <c r="H100" t="s">
        <v>227</v>
      </c>
      <c r="I100" t="s">
        <v>241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242</v>
      </c>
      <c r="B102" s="1" t="s">
        <v>209</v>
      </c>
      <c r="C102" s="1" t="s">
        <v>232</v>
      </c>
      <c r="D102" s="1" t="s">
        <v>243</v>
      </c>
      <c r="E102" s="1" t="s">
        <v>244</v>
      </c>
      <c r="F102" t="s">
        <v>34</v>
      </c>
      <c r="G102" t="s">
        <v>211</v>
      </c>
      <c r="H102" t="s">
        <v>212</v>
      </c>
    </row>
    <row r="103" spans="1:12" x14ac:dyDescent="0.25">
      <c r="B103" s="1" t="s">
        <v>245</v>
      </c>
      <c r="C103" s="1"/>
      <c r="D103" s="1"/>
      <c r="E103" s="1"/>
    </row>
    <row r="104" spans="1:12" x14ac:dyDescent="0.25">
      <c r="B104" s="1" t="s">
        <v>246</v>
      </c>
      <c r="C104" s="1" t="s">
        <v>247</v>
      </c>
      <c r="D104" s="1" t="s">
        <v>248</v>
      </c>
      <c r="E104" s="1" t="s">
        <v>1</v>
      </c>
      <c r="F104" t="s">
        <v>26</v>
      </c>
      <c r="G104" t="s">
        <v>16</v>
      </c>
      <c r="H104" t="s">
        <v>20</v>
      </c>
      <c r="I104" t="s">
        <v>21</v>
      </c>
    </row>
    <row r="105" spans="1:12" x14ac:dyDescent="0.25">
      <c r="B105" s="1" t="s">
        <v>202</v>
      </c>
      <c r="C105" s="1" t="s">
        <v>73</v>
      </c>
      <c r="D105" s="1" t="s">
        <v>17</v>
      </c>
      <c r="E105" s="1" t="s">
        <v>249</v>
      </c>
      <c r="F105" t="s">
        <v>250</v>
      </c>
      <c r="G105" t="s">
        <v>20</v>
      </c>
      <c r="H105" t="s">
        <v>34</v>
      </c>
      <c r="I105" t="s">
        <v>251</v>
      </c>
      <c r="J105" t="s">
        <v>21</v>
      </c>
      <c r="K105">
        <v>5</v>
      </c>
    </row>
    <row r="106" spans="1:12" x14ac:dyDescent="0.25">
      <c r="B106" s="1" t="s">
        <v>252</v>
      </c>
      <c r="C106" s="1" t="s">
        <v>26</v>
      </c>
      <c r="D106" s="1" t="s">
        <v>52</v>
      </c>
      <c r="E106" s="1" t="s">
        <v>253</v>
      </c>
      <c r="F106" t="s">
        <v>219</v>
      </c>
      <c r="G106" t="s">
        <v>220</v>
      </c>
      <c r="H106" t="s">
        <v>60</v>
      </c>
      <c r="I106" t="s">
        <v>250</v>
      </c>
    </row>
    <row r="107" spans="1:12" x14ac:dyDescent="0.25">
      <c r="B107" s="1" t="s">
        <v>20</v>
      </c>
      <c r="C107" s="1" t="s">
        <v>34</v>
      </c>
      <c r="D107" s="1" t="s">
        <v>251</v>
      </c>
      <c r="E107" s="1" t="s">
        <v>254</v>
      </c>
      <c r="F107" t="s">
        <v>244</v>
      </c>
      <c r="G107" t="s">
        <v>255</v>
      </c>
      <c r="H107" t="s">
        <v>210</v>
      </c>
      <c r="I107" t="s">
        <v>256</v>
      </c>
      <c r="J107" t="s">
        <v>257</v>
      </c>
      <c r="K107" t="s">
        <v>258</v>
      </c>
      <c r="L107" t="s">
        <v>259</v>
      </c>
    </row>
    <row r="108" spans="1:12" x14ac:dyDescent="0.25">
      <c r="B108" s="1" t="s">
        <v>227</v>
      </c>
      <c r="C108" s="1" t="s">
        <v>260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11</v>
      </c>
      <c r="C111" s="1" t="s">
        <v>261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262</v>
      </c>
      <c r="B113" s="1" t="s">
        <v>263</v>
      </c>
      <c r="C113" s="1" t="s">
        <v>264</v>
      </c>
      <c r="D113" s="1"/>
      <c r="E113" s="1"/>
    </row>
    <row r="114" spans="1:13" x14ac:dyDescent="0.25">
      <c r="B114" s="1" t="s">
        <v>265</v>
      </c>
      <c r="C114" s="1" t="s">
        <v>266</v>
      </c>
      <c r="D114" s="1" t="s">
        <v>34</v>
      </c>
      <c r="E114" s="1" t="s">
        <v>52</v>
      </c>
      <c r="F114" t="s">
        <v>267</v>
      </c>
      <c r="G114" t="s">
        <v>266</v>
      </c>
      <c r="H114" t="s">
        <v>15</v>
      </c>
      <c r="I114" t="s">
        <v>185</v>
      </c>
      <c r="J114" t="s">
        <v>268</v>
      </c>
    </row>
    <row r="115" spans="1:13" x14ac:dyDescent="0.25">
      <c r="B115" s="1" t="s">
        <v>34</v>
      </c>
      <c r="C115" s="1" t="s">
        <v>52</v>
      </c>
      <c r="D115" s="1" t="s">
        <v>137</v>
      </c>
      <c r="E115" s="1" t="s">
        <v>266</v>
      </c>
      <c r="F115" t="s">
        <v>15</v>
      </c>
      <c r="G115" t="s">
        <v>269</v>
      </c>
      <c r="H115" t="s">
        <v>270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271</v>
      </c>
      <c r="B117" s="1" t="s">
        <v>272</v>
      </c>
      <c r="C117" s="1" t="s">
        <v>273</v>
      </c>
      <c r="D117" s="1"/>
      <c r="E117" s="1"/>
    </row>
    <row r="118" spans="1:13" x14ac:dyDescent="0.25">
      <c r="B118" s="1" t="s">
        <v>274</v>
      </c>
      <c r="C118" s="1" t="s">
        <v>275</v>
      </c>
      <c r="D118" s="1" t="s">
        <v>261</v>
      </c>
      <c r="E118" s="1" t="s">
        <v>276</v>
      </c>
      <c r="F118" t="s">
        <v>277</v>
      </c>
    </row>
    <row r="119" spans="1:13" x14ac:dyDescent="0.25">
      <c r="B119" s="1" t="s">
        <v>84</v>
      </c>
      <c r="C119" s="1" t="s">
        <v>278</v>
      </c>
      <c r="D119" s="1" t="s">
        <v>279</v>
      </c>
      <c r="E119" s="1" t="s">
        <v>280</v>
      </c>
      <c r="F119" t="s">
        <v>82</v>
      </c>
      <c r="G119" t="s">
        <v>276</v>
      </c>
      <c r="H119" t="s">
        <v>195</v>
      </c>
      <c r="I119" t="s">
        <v>202</v>
      </c>
      <c r="J119" t="s">
        <v>52</v>
      </c>
      <c r="K119" t="s">
        <v>154</v>
      </c>
      <c r="L119" t="s">
        <v>34</v>
      </c>
    </row>
    <row r="120" spans="1:13" x14ac:dyDescent="0.25">
      <c r="B120" s="1" t="s">
        <v>160</v>
      </c>
      <c r="C120" s="1" t="s">
        <v>281</v>
      </c>
      <c r="D120" s="1" t="s">
        <v>34</v>
      </c>
      <c r="E120" s="1" t="s">
        <v>52</v>
      </c>
      <c r="F120" t="s">
        <v>282</v>
      </c>
      <c r="G120" t="s">
        <v>279</v>
      </c>
      <c r="H120" t="s">
        <v>280</v>
      </c>
      <c r="I120" t="s">
        <v>82</v>
      </c>
      <c r="J120" t="s">
        <v>276</v>
      </c>
      <c r="K120" t="s">
        <v>89</v>
      </c>
    </row>
    <row r="121" spans="1:13" x14ac:dyDescent="0.25">
      <c r="B121" s="1" t="s">
        <v>202</v>
      </c>
      <c r="C121" s="1" t="s">
        <v>52</v>
      </c>
      <c r="D121" s="1" t="s">
        <v>159</v>
      </c>
      <c r="E121" s="1" t="s">
        <v>283</v>
      </c>
    </row>
    <row r="122" spans="1:13" x14ac:dyDescent="0.25">
      <c r="B122" s="1" t="s">
        <v>284</v>
      </c>
      <c r="C122" s="1" t="s">
        <v>67</v>
      </c>
      <c r="D122" s="1" t="s">
        <v>285</v>
      </c>
      <c r="E122" s="1" t="s">
        <v>26</v>
      </c>
      <c r="F122" t="s">
        <v>286</v>
      </c>
      <c r="G122" t="s">
        <v>264</v>
      </c>
      <c r="H122" t="s">
        <v>287</v>
      </c>
      <c r="I122" t="s">
        <v>288</v>
      </c>
      <c r="J122" t="s">
        <v>19</v>
      </c>
      <c r="K122" t="s">
        <v>52</v>
      </c>
      <c r="L122" t="s">
        <v>289</v>
      </c>
      <c r="M122" t="s">
        <v>26</v>
      </c>
    </row>
    <row r="123" spans="1:13" x14ac:dyDescent="0.25">
      <c r="B123" s="1" t="s">
        <v>52</v>
      </c>
      <c r="C123" s="1" t="s">
        <v>282</v>
      </c>
      <c r="D123" s="1" t="s">
        <v>279</v>
      </c>
      <c r="E123" s="1" t="s">
        <v>280</v>
      </c>
      <c r="F123" t="s">
        <v>82</v>
      </c>
      <c r="G123" t="s">
        <v>202</v>
      </c>
      <c r="H123" t="s">
        <v>290</v>
      </c>
      <c r="I123" t="s">
        <v>291</v>
      </c>
      <c r="J123" t="s">
        <v>193</v>
      </c>
    </row>
    <row r="124" spans="1:13" x14ac:dyDescent="0.25">
      <c r="B124" s="1" t="s">
        <v>292</v>
      </c>
      <c r="C124" s="1" t="s">
        <v>293</v>
      </c>
      <c r="D124" s="1" t="s">
        <v>273</v>
      </c>
      <c r="E124" s="1" t="s">
        <v>69</v>
      </c>
      <c r="F124" t="s">
        <v>70</v>
      </c>
      <c r="G124" t="s">
        <v>294</v>
      </c>
      <c r="H124" t="s">
        <v>202</v>
      </c>
      <c r="I124" t="s">
        <v>295</v>
      </c>
      <c r="J124" t="s">
        <v>296</v>
      </c>
      <c r="K124" t="s">
        <v>297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298</v>
      </c>
      <c r="B126" s="1" t="s">
        <v>247</v>
      </c>
      <c r="C126" s="1" t="s">
        <v>80</v>
      </c>
      <c r="D126" s="1"/>
      <c r="E126" s="1"/>
    </row>
    <row r="127" spans="1:13" x14ac:dyDescent="0.25">
      <c r="B127" s="1">
        <v>1.2</v>
      </c>
      <c r="C127" s="1" t="s">
        <v>34</v>
      </c>
      <c r="D127" s="1">
        <v>2.5</v>
      </c>
      <c r="E127" s="1" t="s">
        <v>5</v>
      </c>
      <c r="F127" t="s">
        <v>173</v>
      </c>
      <c r="G127" t="s">
        <v>202</v>
      </c>
      <c r="H127" t="s">
        <v>52</v>
      </c>
      <c r="I127" t="s">
        <v>299</v>
      </c>
      <c r="J127" t="s">
        <v>34</v>
      </c>
      <c r="K127" t="s">
        <v>300</v>
      </c>
      <c r="L127" t="s">
        <v>301</v>
      </c>
    </row>
    <row r="128" spans="1:13" x14ac:dyDescent="0.25">
      <c r="B128" s="1" t="s">
        <v>34</v>
      </c>
      <c r="C128" s="1">
        <v>0.11</v>
      </c>
      <c r="D128" s="1" t="s">
        <v>91</v>
      </c>
      <c r="E128" s="1">
        <v>2.1</v>
      </c>
      <c r="F128" t="s">
        <v>5</v>
      </c>
      <c r="G128" t="s">
        <v>173</v>
      </c>
      <c r="H128" t="s">
        <v>202</v>
      </c>
      <c r="I128" t="s">
        <v>52</v>
      </c>
      <c r="J128" t="s">
        <v>302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303</v>
      </c>
      <c r="B130" s="1" t="s">
        <v>304</v>
      </c>
      <c r="C130" s="1" t="s">
        <v>305</v>
      </c>
      <c r="D130" s="1"/>
      <c r="E130" s="1"/>
    </row>
    <row r="131" spans="1:11" x14ac:dyDescent="0.25">
      <c r="B131" s="1" t="s">
        <v>84</v>
      </c>
      <c r="C131" s="1" t="s">
        <v>306</v>
      </c>
      <c r="D131" s="1" t="s">
        <v>273</v>
      </c>
      <c r="E131" s="1" t="s">
        <v>15</v>
      </c>
      <c r="F131" t="s">
        <v>52</v>
      </c>
      <c r="G131" t="s">
        <v>307</v>
      </c>
      <c r="H131" t="s">
        <v>308</v>
      </c>
      <c r="I131" t="s">
        <v>19</v>
      </c>
      <c r="J131" t="s">
        <v>159</v>
      </c>
      <c r="K131" t="s">
        <v>309</v>
      </c>
    </row>
    <row r="132" spans="1:11" x14ac:dyDescent="0.25">
      <c r="B132" s="1" t="s">
        <v>34</v>
      </c>
      <c r="C132" s="1" t="s">
        <v>52</v>
      </c>
      <c r="D132" s="1" t="s">
        <v>282</v>
      </c>
      <c r="E132" s="1" t="s">
        <v>310</v>
      </c>
      <c r="F132" t="s">
        <v>273</v>
      </c>
      <c r="G132" t="s">
        <v>15</v>
      </c>
      <c r="H132" t="s">
        <v>52</v>
      </c>
      <c r="I132" t="s">
        <v>311</v>
      </c>
      <c r="J132" t="s">
        <v>312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313</v>
      </c>
      <c r="B134" s="1" t="s">
        <v>314</v>
      </c>
      <c r="C134" s="1" t="s">
        <v>315</v>
      </c>
      <c r="D134" s="1"/>
      <c r="E134" s="1"/>
    </row>
    <row r="135" spans="1:11" x14ac:dyDescent="0.25">
      <c r="B135" s="1" t="s">
        <v>316</v>
      </c>
      <c r="C135" s="1" t="s">
        <v>317</v>
      </c>
      <c r="D135" s="1" t="s">
        <v>318</v>
      </c>
      <c r="E135" s="1" t="s">
        <v>317</v>
      </c>
      <c r="F135" t="s">
        <v>319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320</v>
      </c>
      <c r="B137" s="1" t="s">
        <v>321</v>
      </c>
      <c r="C137" s="1"/>
      <c r="D137" s="1"/>
      <c r="E137" s="1"/>
    </row>
    <row r="138" spans="1:11" x14ac:dyDescent="0.25">
      <c r="B138" s="1" t="s">
        <v>322</v>
      </c>
      <c r="C138" s="1" t="s">
        <v>323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324</v>
      </c>
      <c r="B140" s="1" t="s">
        <v>325</v>
      </c>
      <c r="C140" s="1" t="s">
        <v>144</v>
      </c>
      <c r="D140" s="1"/>
      <c r="E140" s="1"/>
    </row>
    <row r="141" spans="1:11" x14ac:dyDescent="0.25">
      <c r="B141" s="1">
        <v>2048</v>
      </c>
      <c r="C141" s="1" t="s">
        <v>317</v>
      </c>
      <c r="D141" s="1">
        <v>480</v>
      </c>
      <c r="E141" s="1" t="s">
        <v>317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326</v>
      </c>
      <c r="B143" s="1" t="s">
        <v>327</v>
      </c>
      <c r="C143" s="1" t="s">
        <v>15</v>
      </c>
      <c r="D143" s="1" t="s">
        <v>328</v>
      </c>
      <c r="E143" s="1" t="s">
        <v>329</v>
      </c>
    </row>
    <row r="144" spans="1:11" x14ac:dyDescent="0.25">
      <c r="B144" s="1" t="s">
        <v>84</v>
      </c>
      <c r="C144" s="1" t="s">
        <v>330</v>
      </c>
      <c r="D144" s="1" t="s">
        <v>329</v>
      </c>
      <c r="E144" s="1" t="s">
        <v>97</v>
      </c>
      <c r="F144" t="s">
        <v>331</v>
      </c>
      <c r="G144" t="s">
        <v>51</v>
      </c>
    </row>
    <row r="145" spans="1:12" x14ac:dyDescent="0.25">
      <c r="B145" s="1" t="s">
        <v>332</v>
      </c>
      <c r="C145" s="1" t="s">
        <v>333</v>
      </c>
      <c r="D145" s="1" t="s">
        <v>334</v>
      </c>
      <c r="E145" s="1" t="s">
        <v>335</v>
      </c>
      <c r="F145" t="s">
        <v>135</v>
      </c>
      <c r="G145" t="s">
        <v>136</v>
      </c>
      <c r="H145" t="s">
        <v>137</v>
      </c>
      <c r="I145" t="s">
        <v>15</v>
      </c>
      <c r="J145" t="s">
        <v>152</v>
      </c>
      <c r="K145" t="s">
        <v>336</v>
      </c>
    </row>
    <row r="146" spans="1:12" x14ac:dyDescent="0.25">
      <c r="B146" s="1" t="s">
        <v>34</v>
      </c>
      <c r="C146" s="1" t="s">
        <v>332</v>
      </c>
      <c r="D146" s="1" t="s">
        <v>337</v>
      </c>
      <c r="E146" s="1" t="s">
        <v>338</v>
      </c>
      <c r="F146" t="s">
        <v>335</v>
      </c>
      <c r="G146" t="s">
        <v>339</v>
      </c>
      <c r="H146" t="s">
        <v>340</v>
      </c>
      <c r="I146" t="s">
        <v>15</v>
      </c>
      <c r="J146" t="s">
        <v>339</v>
      </c>
      <c r="K146" t="s">
        <v>270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341</v>
      </c>
      <c r="B148" s="1" t="s">
        <v>342</v>
      </c>
      <c r="C148" s="1" t="s">
        <v>26</v>
      </c>
      <c r="D148" s="1" t="s">
        <v>343</v>
      </c>
      <c r="E148" s="1" t="s">
        <v>344</v>
      </c>
      <c r="F148" t="s">
        <v>15</v>
      </c>
      <c r="G148" t="s">
        <v>345</v>
      </c>
      <c r="H148" t="s">
        <v>346</v>
      </c>
    </row>
    <row r="149" spans="1:12" x14ac:dyDescent="0.25">
      <c r="B149" s="1" t="s">
        <v>347</v>
      </c>
      <c r="C149" s="1">
        <v>1323</v>
      </c>
      <c r="D149" s="1" t="s">
        <v>348</v>
      </c>
      <c r="E149" s="1" t="s">
        <v>173</v>
      </c>
      <c r="F149" t="s">
        <v>26</v>
      </c>
      <c r="G149" t="s">
        <v>343</v>
      </c>
      <c r="H149" t="s">
        <v>349</v>
      </c>
    </row>
    <row r="150" spans="1:12" x14ac:dyDescent="0.25">
      <c r="B150" s="1" t="s">
        <v>350</v>
      </c>
      <c r="C150" s="1" t="s">
        <v>52</v>
      </c>
      <c r="D150" s="1" t="s">
        <v>185</v>
      </c>
      <c r="E150" s="1" t="s">
        <v>351</v>
      </c>
      <c r="F150" t="s">
        <v>52</v>
      </c>
      <c r="G150" t="s">
        <v>186</v>
      </c>
      <c r="H150" t="s">
        <v>187</v>
      </c>
      <c r="I150" t="s">
        <v>352</v>
      </c>
      <c r="J150" t="s">
        <v>353</v>
      </c>
      <c r="K150" t="s">
        <v>344</v>
      </c>
      <c r="L150" t="s">
        <v>343</v>
      </c>
    </row>
    <row r="151" spans="1:12" x14ac:dyDescent="0.25">
      <c r="B151" s="1" t="s">
        <v>354</v>
      </c>
      <c r="C151" s="1" t="s">
        <v>91</v>
      </c>
      <c r="D151" s="1" t="s">
        <v>355</v>
      </c>
      <c r="E151" s="1">
        <v>9</v>
      </c>
      <c r="F151" t="s">
        <v>356</v>
      </c>
      <c r="G151" t="s">
        <v>357</v>
      </c>
      <c r="H151" t="s">
        <v>358</v>
      </c>
      <c r="I151" t="s">
        <v>359</v>
      </c>
      <c r="J151" t="s">
        <v>52</v>
      </c>
      <c r="K151" t="s">
        <v>360</v>
      </c>
      <c r="L151" t="s">
        <v>361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362</v>
      </c>
      <c r="B153" s="1" t="s">
        <v>363</v>
      </c>
      <c r="C153" s="1"/>
      <c r="D153" s="1"/>
      <c r="E153" s="1"/>
    </row>
    <row r="154" spans="1:12" x14ac:dyDescent="0.25">
      <c r="B154" s="1" t="s">
        <v>364</v>
      </c>
      <c r="C154" s="1" t="s">
        <v>365</v>
      </c>
      <c r="D154" s="1" t="s">
        <v>366</v>
      </c>
      <c r="E154" s="1" t="s">
        <v>367</v>
      </c>
      <c r="F154" t="s">
        <v>368</v>
      </c>
      <c r="G154" t="s">
        <v>369</v>
      </c>
      <c r="H154" t="s">
        <v>370</v>
      </c>
      <c r="I154" t="s">
        <v>37</v>
      </c>
    </row>
    <row r="155" spans="1:12" x14ac:dyDescent="0.25">
      <c r="B155" s="1" t="s">
        <v>371</v>
      </c>
      <c r="C155" s="1" t="s">
        <v>364</v>
      </c>
      <c r="D155" s="1" t="s">
        <v>365</v>
      </c>
      <c r="E155" s="1" t="s">
        <v>366</v>
      </c>
      <c r="F155" t="s">
        <v>367</v>
      </c>
      <c r="G155" t="s">
        <v>368</v>
      </c>
      <c r="H155" t="s">
        <v>369</v>
      </c>
      <c r="I155" t="s">
        <v>370</v>
      </c>
      <c r="J155" t="s">
        <v>372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373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374</v>
      </c>
      <c r="B160" s="1" t="s">
        <v>375</v>
      </c>
      <c r="C160" s="1" t="s">
        <v>376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145</v>
      </c>
      <c r="C162" s="1" t="s">
        <v>130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377</v>
      </c>
      <c r="B164" s="1" t="s">
        <v>378</v>
      </c>
      <c r="C164" s="1" t="s">
        <v>151</v>
      </c>
      <c r="D164" s="1" t="s">
        <v>379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141</v>
      </c>
      <c r="C166" s="1" t="s">
        <v>130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221</v>
      </c>
      <c r="C169" s="1" t="s">
        <v>380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381</v>
      </c>
      <c r="C171" s="1" t="s">
        <v>382</v>
      </c>
      <c r="D171" s="1" t="s">
        <v>153</v>
      </c>
      <c r="E171" s="1" t="s">
        <v>383</v>
      </c>
      <c r="F171" t="s">
        <v>384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381</v>
      </c>
      <c r="C413" s="1" t="s">
        <v>382</v>
      </c>
      <c r="D413" s="1" t="s">
        <v>385</v>
      </c>
      <c r="E413" t="s">
        <v>386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387</v>
      </c>
      <c r="C656" s="1" t="s">
        <v>26</v>
      </c>
      <c r="D656" s="1" t="s">
        <v>286</v>
      </c>
      <c r="E656" s="1" t="s">
        <v>264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388</v>
      </c>
      <c r="B658" s="1" t="s">
        <v>26</v>
      </c>
      <c r="C658" s="1" t="s">
        <v>383</v>
      </c>
      <c r="D658" s="1" t="s">
        <v>107</v>
      </c>
      <c r="E658" s="1"/>
      <c r="F658" s="1"/>
      <c r="G658" s="1"/>
      <c r="H658" s="1"/>
    </row>
    <row r="659" spans="1:8" x14ac:dyDescent="0.25">
      <c r="B659" s="1" t="s">
        <v>382</v>
      </c>
      <c r="C659" s="1" t="s">
        <v>389</v>
      </c>
      <c r="D659" s="1" t="s">
        <v>390</v>
      </c>
      <c r="E659" s="1" t="s">
        <v>391</v>
      </c>
      <c r="F659" s="1" t="s">
        <v>392</v>
      </c>
      <c r="G659" s="1" t="s">
        <v>393</v>
      </c>
      <c r="H659" s="1" t="s">
        <v>394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388</v>
      </c>
      <c r="B902" t="s">
        <v>26</v>
      </c>
      <c r="C902" t="s">
        <v>385</v>
      </c>
      <c r="D902" t="s">
        <v>107</v>
      </c>
    </row>
    <row r="903" spans="1:8" x14ac:dyDescent="0.25">
      <c r="B903" t="s">
        <v>382</v>
      </c>
      <c r="C903" t="s">
        <v>389</v>
      </c>
      <c r="D903" t="s">
        <v>390</v>
      </c>
      <c r="E903" t="s">
        <v>391</v>
      </c>
      <c r="F903" t="s">
        <v>392</v>
      </c>
      <c r="G903" t="s">
        <v>393</v>
      </c>
      <c r="H903" t="s">
        <v>394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388</v>
      </c>
      <c r="B1146" t="s">
        <v>26</v>
      </c>
      <c r="C1146" t="s">
        <v>384</v>
      </c>
      <c r="D1146" t="s">
        <v>107</v>
      </c>
    </row>
    <row r="1147" spans="1:8" x14ac:dyDescent="0.25">
      <c r="B1147" t="s">
        <v>382</v>
      </c>
      <c r="C1147" t="s">
        <v>389</v>
      </c>
      <c r="D1147" t="s">
        <v>390</v>
      </c>
      <c r="E1147" t="s">
        <v>391</v>
      </c>
      <c r="F1147" t="s">
        <v>392</v>
      </c>
      <c r="G1147" t="s">
        <v>393</v>
      </c>
      <c r="H1147" t="s">
        <v>394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388</v>
      </c>
      <c r="B1390" t="s">
        <v>26</v>
      </c>
      <c r="C1390" t="s">
        <v>386</v>
      </c>
      <c r="D1390" t="s">
        <v>107</v>
      </c>
    </row>
    <row r="1391" spans="1:8" x14ac:dyDescent="0.25">
      <c r="B1391" t="s">
        <v>382</v>
      </c>
      <c r="C1391" t="s">
        <v>389</v>
      </c>
      <c r="D1391" t="s">
        <v>390</v>
      </c>
      <c r="E1391" t="s">
        <v>391</v>
      </c>
      <c r="F1391" t="s">
        <v>392</v>
      </c>
      <c r="G1391" t="s">
        <v>393</v>
      </c>
      <c r="H1391" t="s">
        <v>394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388</v>
      </c>
      <c r="B1634" t="s">
        <v>26</v>
      </c>
      <c r="C1634" t="s">
        <v>6</v>
      </c>
      <c r="D1634" t="s">
        <v>107</v>
      </c>
    </row>
    <row r="1635" spans="1:8" x14ac:dyDescent="0.25">
      <c r="B1635" t="s">
        <v>382</v>
      </c>
      <c r="C1635" t="s">
        <v>389</v>
      </c>
      <c r="D1635" t="s">
        <v>390</v>
      </c>
      <c r="E1635" t="s">
        <v>391</v>
      </c>
      <c r="F1635" t="s">
        <v>392</v>
      </c>
      <c r="G1635" t="s">
        <v>393</v>
      </c>
      <c r="H1635" t="s">
        <v>394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395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70"/>
  <sheetViews>
    <sheetView tabSelected="1" topLeftCell="A286" workbookViewId="0">
      <selection activeCell="A298" sqref="A298"/>
    </sheetView>
  </sheetViews>
  <sheetFormatPr defaultRowHeight="15" x14ac:dyDescent="0.25"/>
  <cols>
    <col min="1" max="2" width="12.7109375" customWidth="1"/>
    <col min="3" max="4" width="12" bestFit="1" customWidth="1"/>
    <col min="5" max="5" width="12.7109375" bestFit="1" customWidth="1"/>
    <col min="6" max="6" width="12" customWidth="1"/>
    <col min="7" max="7" width="12" bestFit="1" customWidth="1"/>
    <col min="8" max="8" width="12" customWidth="1"/>
    <col min="9" max="9" width="12.7109375" bestFit="1" customWidth="1"/>
  </cols>
  <sheetData>
    <row r="1" spans="1:9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390</v>
      </c>
      <c r="H1" t="s">
        <v>478</v>
      </c>
      <c r="I1" t="s">
        <v>471</v>
      </c>
    </row>
    <row r="2" spans="1:9" x14ac:dyDescent="0.25">
      <c r="A2">
        <v>-141.555516719818</v>
      </c>
      <c r="B2">
        <v>-1.7060123752798899E-4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-128.95890593528699</v>
      </c>
      <c r="B3">
        <v>-1.7060123752798899E-4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-117.402367591857</v>
      </c>
      <c r="B4">
        <v>-1.7060123752798899E-4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-106.80001378059301</v>
      </c>
      <c r="B5">
        <v>-1.7060123752798899E-4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>
        <v>-97.073161005973802</v>
      </c>
      <c r="B6">
        <v>-1.7060123752798899E-4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>
        <v>-88.149435520172105</v>
      </c>
      <c r="B7">
        <v>-1.7060123752798899E-4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>
        <v>-79.962490797042804</v>
      </c>
      <c r="B8">
        <v>-1.7060123752798899E-4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>
        <v>-72.451583743095298</v>
      </c>
      <c r="B9">
        <v>-1.7060123752798899E-4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>
        <v>-65.560821294784503</v>
      </c>
      <c r="B10">
        <v>-1.7060123752798899E-4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>
        <v>-59.238972067832897</v>
      </c>
      <c r="B11">
        <v>-1.7060123752798899E-4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-53.439136743545497</v>
      </c>
      <c r="B12">
        <v>-1.7060123752798899E-4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-48.118183016777003</v>
      </c>
      <c r="B13">
        <v>-1.7060123752798899E-4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-43.236604332923797</v>
      </c>
      <c r="B14">
        <v>-1.7060123752798899E-4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-38.758049011230398</v>
      </c>
      <c r="B15">
        <v>-1.7060123752798899E-4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-34.649320244789102</v>
      </c>
      <c r="B16">
        <v>-1.7060123752798899E-4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-30.879811048507602</v>
      </c>
      <c r="B17">
        <v>-1.7060123752798899E-4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>
        <v>-27.4215984344482</v>
      </c>
      <c r="B18">
        <v>-1.7060123752798899E-4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>
        <v>-24.248878359794599</v>
      </c>
      <c r="B19">
        <v>-1.7060123752798899E-4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>
        <v>-21.3381540775299</v>
      </c>
      <c r="B20">
        <v>-1.7060123752798899E-4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>
        <v>-18.6677181720733</v>
      </c>
      <c r="B21">
        <v>-1.7060123752798899E-4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-16.2178409099578</v>
      </c>
      <c r="B22">
        <v>-1.7060123752798899E-4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>
        <v>-13.9702051877975</v>
      </c>
      <c r="B23">
        <v>-1.7060123752798899E-4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>
        <v>-11.908189058303799</v>
      </c>
      <c r="B24">
        <v>-1.7060123752798899E-4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-10.016394853591899</v>
      </c>
      <c r="B25">
        <v>-1.7060123752798899E-4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>
        <v>-8.2808375358581507</v>
      </c>
      <c r="B26">
        <v>-1.7060123752798899E-4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>
        <v>-6.6885209083557102</v>
      </c>
      <c r="B27">
        <v>-1.7060123752798899E-4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>
        <v>-5.2277201414108196</v>
      </c>
      <c r="B28">
        <v>-1.7060123752798899E-4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>
        <v>-3.88755798339843</v>
      </c>
      <c r="B29">
        <v>-1.7060123752798899E-4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>
        <v>-2.6580518484115601</v>
      </c>
      <c r="B30">
        <v>-1.7060123752798899E-4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>
        <v>-1.5300196409225399</v>
      </c>
      <c r="B31">
        <v>-1.7060123752798899E-4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>
        <v>-0.49517393112182601</v>
      </c>
      <c r="B32">
        <v>-1.7060123752798899E-4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>
        <v>0.49376130104064903</v>
      </c>
      <c r="B33">
        <v>0.49446692591629898</v>
      </c>
      <c r="C33">
        <v>4.3290306797416599E-2</v>
      </c>
      <c r="D33">
        <v>3.9182832220163097E-2</v>
      </c>
      <c r="E33" s="1">
        <v>-9.2084359510416399E-5</v>
      </c>
      <c r="F33" s="1">
        <v>3.1166780856043399E-5</v>
      </c>
      <c r="G33">
        <v>0.17732415196799201</v>
      </c>
      <c r="H33">
        <v>0.99949199055442095</v>
      </c>
      <c r="I33" s="1">
        <v>5.6040775082277902E-7</v>
      </c>
    </row>
    <row r="34" spans="1:9" x14ac:dyDescent="0.25">
      <c r="A34">
        <v>1.5257111191749499</v>
      </c>
      <c r="B34">
        <v>1.52726859861616</v>
      </c>
      <c r="C34">
        <v>0.41227598644581998</v>
      </c>
      <c r="D34">
        <v>0.37535447123390098</v>
      </c>
      <c r="E34">
        <v>-2.1560796333372702E-3</v>
      </c>
      <c r="F34" s="1">
        <v>2.7896389788481301E-4</v>
      </c>
      <c r="G34">
        <v>0.17532984157713399</v>
      </c>
      <c r="H34">
        <v>0.99509978489167505</v>
      </c>
      <c r="I34" s="1">
        <v>2.2757307018526199E-5</v>
      </c>
    </row>
    <row r="35" spans="1:9" x14ac:dyDescent="0.25">
      <c r="A35">
        <v>2.6505178213119498</v>
      </c>
      <c r="B35">
        <v>2.6455098817274298</v>
      </c>
      <c r="C35">
        <v>1.2258220339163</v>
      </c>
      <c r="D35">
        <v>1.1216752631198901</v>
      </c>
      <c r="E35">
        <v>-1.24555831910455E-2</v>
      </c>
      <c r="F35" s="1">
        <v>7.7654227957085699E-4</v>
      </c>
      <c r="G35">
        <v>0.16926136999425601</v>
      </c>
      <c r="H35">
        <v>0.98483477223875304</v>
      </c>
      <c r="I35" s="1">
        <v>1.2826833321726301E-4</v>
      </c>
    </row>
    <row r="36" spans="1:9" x14ac:dyDescent="0.25">
      <c r="A36">
        <v>3.8765159249305698</v>
      </c>
      <c r="B36">
        <v>3.8403821162097498</v>
      </c>
      <c r="C36">
        <v>2.5189124815369701</v>
      </c>
      <c r="D36">
        <v>2.3151460572333198</v>
      </c>
      <c r="E36">
        <v>-3.8874021371857699E-2</v>
      </c>
      <c r="F36" s="1">
        <v>1.46462534691218E-3</v>
      </c>
      <c r="G36">
        <v>0.15784130757786999</v>
      </c>
      <c r="H36">
        <v>0.966291917961563</v>
      </c>
      <c r="I36">
        <v>3.26690797592003E-4</v>
      </c>
    </row>
    <row r="37" spans="1:9" x14ac:dyDescent="0.25">
      <c r="A37">
        <v>5.2129346132278398</v>
      </c>
      <c r="B37">
        <v>5.0889701613374401</v>
      </c>
      <c r="C37">
        <v>4.2119955711768799</v>
      </c>
      <c r="D37">
        <v>3.8829571842803698</v>
      </c>
      <c r="E37">
        <v>-8.8527779704640194E-2</v>
      </c>
      <c r="F37">
        <v>2.1879667877527501E-3</v>
      </c>
      <c r="G37">
        <v>0.143005927734601</v>
      </c>
      <c r="H37">
        <v>0.93697993566267002</v>
      </c>
      <c r="I37">
        <v>7.1019296459179804E-4</v>
      </c>
    </row>
    <row r="38" spans="1:9" x14ac:dyDescent="0.25">
      <c r="A38">
        <v>6.6695916652679399</v>
      </c>
      <c r="B38">
        <v>6.3533921710364796</v>
      </c>
      <c r="C38">
        <v>6.0790494498178296</v>
      </c>
      <c r="D38">
        <v>5.6090376389791796</v>
      </c>
      <c r="E38">
        <v>-0.16347737012517799</v>
      </c>
      <c r="F38">
        <v>2.7383280331297402E-3</v>
      </c>
      <c r="G38">
        <v>0.12986466759139001</v>
      </c>
      <c r="H38">
        <v>0.89796574406202301</v>
      </c>
      <c r="I38">
        <v>1.9749393659935699E-3</v>
      </c>
    </row>
    <row r="39" spans="1:9" x14ac:dyDescent="0.25">
      <c r="A39">
        <v>8.2573878765106201</v>
      </c>
      <c r="B39">
        <v>7.5866925421320204</v>
      </c>
      <c r="C39">
        <v>7.8076371817587598</v>
      </c>
      <c r="D39">
        <v>7.1920270993741999</v>
      </c>
      <c r="E39">
        <v>-0.25819579178428198</v>
      </c>
      <c r="F39">
        <v>2.97245496247864E-3</v>
      </c>
      <c r="G39">
        <v>0.123233032608666</v>
      </c>
      <c r="H39">
        <v>0.85761257337811003</v>
      </c>
      <c r="I39">
        <v>5.5770878913636501E-3</v>
      </c>
    </row>
    <row r="40" spans="1:9" x14ac:dyDescent="0.25">
      <c r="A40">
        <v>9.9880245327949506</v>
      </c>
      <c r="B40">
        <v>8.7444525196366296</v>
      </c>
      <c r="C40">
        <v>9.1308565258259407</v>
      </c>
      <c r="D40">
        <v>8.3749550099688399</v>
      </c>
      <c r="E40">
        <v>-0.36141820616798798</v>
      </c>
      <c r="F40">
        <v>2.8976709344946099E-3</v>
      </c>
      <c r="G40">
        <v>0.123601625599885</v>
      </c>
      <c r="H40">
        <v>0.82496623456243701</v>
      </c>
      <c r="I40">
        <v>1.10786762208733E-2</v>
      </c>
    </row>
    <row r="41" spans="1:9" x14ac:dyDescent="0.25">
      <c r="A41">
        <v>11.874474287032999</v>
      </c>
      <c r="B41">
        <v>9.7959871295057592</v>
      </c>
      <c r="C41">
        <v>9.9272638446563999</v>
      </c>
      <c r="D41">
        <v>9.0438309021385699</v>
      </c>
      <c r="E41">
        <v>-0.46142405855444302</v>
      </c>
      <c r="F41">
        <v>2.65557162446463E-3</v>
      </c>
      <c r="G41">
        <v>0.127250994528153</v>
      </c>
      <c r="H41">
        <v>0.80038330061958896</v>
      </c>
      <c r="I41">
        <v>1.41022308223501E-2</v>
      </c>
    </row>
    <row r="42" spans="1:9" x14ac:dyDescent="0.25">
      <c r="A42">
        <v>13.9306750893592</v>
      </c>
      <c r="B42">
        <v>10.728575343560401</v>
      </c>
      <c r="C42">
        <v>10.220548577126401</v>
      </c>
      <c r="D42">
        <v>9.2274823602771008</v>
      </c>
      <c r="E42">
        <v>-0.55033262109757597</v>
      </c>
      <c r="F42">
        <v>2.4237241282550502E-3</v>
      </c>
      <c r="G42">
        <v>0.12967136258338699</v>
      </c>
      <c r="H42">
        <v>0.77930183631225203</v>
      </c>
      <c r="I42">
        <v>1.16389510762916E-2</v>
      </c>
    </row>
    <row r="43" spans="1:9" x14ac:dyDescent="0.25">
      <c r="A43">
        <v>16.171883344650201</v>
      </c>
      <c r="B43">
        <v>11.544246346052701</v>
      </c>
      <c r="C43">
        <v>10.114844921554299</v>
      </c>
      <c r="D43">
        <v>9.0330824167423707</v>
      </c>
      <c r="E43">
        <v>-0.62490115708693195</v>
      </c>
      <c r="F43">
        <v>2.28562572155934E-3</v>
      </c>
      <c r="G43">
        <v>0.128314026645654</v>
      </c>
      <c r="H43">
        <v>0.75836630617103495</v>
      </c>
      <c r="I43">
        <v>5.2561854966397797E-3</v>
      </c>
    </row>
    <row r="44" spans="1:9" x14ac:dyDescent="0.25">
      <c r="A44">
        <v>18.614838719367899</v>
      </c>
      <c r="B44">
        <v>12.253527174066701</v>
      </c>
      <c r="C44">
        <v>9.7317452306015095</v>
      </c>
      <c r="D44">
        <v>8.5834296551732105</v>
      </c>
      <c r="E44">
        <v>-0.68511060778126198</v>
      </c>
      <c r="F44" s="1">
        <v>2.1806589525685299E-3</v>
      </c>
      <c r="G44">
        <v>0.123024522374076</v>
      </c>
      <c r="H44">
        <v>0.73633921097396404</v>
      </c>
      <c r="I44">
        <v>-1.8993840379553401E-3</v>
      </c>
    </row>
    <row r="45" spans="1:9" x14ac:dyDescent="0.25">
      <c r="A45">
        <v>21.2777170538902</v>
      </c>
      <c r="B45">
        <v>12.8701593338661</v>
      </c>
      <c r="C45">
        <v>9.1768725584188306</v>
      </c>
      <c r="D45">
        <v>7.9833414105961902</v>
      </c>
      <c r="E45">
        <v>-0.732479569827579</v>
      </c>
      <c r="F45">
        <v>2.03019637313744E-3</v>
      </c>
      <c r="G45">
        <v>0.114972740764219</v>
      </c>
      <c r="H45">
        <v>0.71314281299948001</v>
      </c>
      <c r="I45">
        <v>-7.8407747685171301E-3</v>
      </c>
    </row>
    <row r="46" spans="1:9" x14ac:dyDescent="0.25">
      <c r="A46">
        <v>24.180224537849401</v>
      </c>
      <c r="B46">
        <v>13.4080403096191</v>
      </c>
      <c r="C46">
        <v>8.5306359046626294</v>
      </c>
      <c r="D46">
        <v>7.3108862423588397</v>
      </c>
      <c r="E46">
        <v>-0.76896477321447398</v>
      </c>
      <c r="F46">
        <v>1.8172684613633201E-3</v>
      </c>
      <c r="G46">
        <v>0.10550728260332901</v>
      </c>
      <c r="H46">
        <v>0.68918125111374495</v>
      </c>
      <c r="I46">
        <v>-1.1978054946098301E-2</v>
      </c>
    </row>
    <row r="47" spans="1:9" x14ac:dyDescent="0.25">
      <c r="A47">
        <v>27.343950867652801</v>
      </c>
      <c r="B47">
        <v>13.8799029014222</v>
      </c>
      <c r="C47">
        <v>7.8501442144442901</v>
      </c>
      <c r="D47">
        <v>6.6199733567533698</v>
      </c>
      <c r="E47">
        <v>-0.796447527176121</v>
      </c>
      <c r="F47">
        <v>1.5101836622457101E-3</v>
      </c>
      <c r="G47">
        <v>9.5631306556092699E-2</v>
      </c>
      <c r="H47">
        <v>0.66503922220219502</v>
      </c>
      <c r="I47">
        <v>-1.4443541253747701E-2</v>
      </c>
    </row>
    <row r="48" spans="1:9" x14ac:dyDescent="0.25">
      <c r="A48">
        <v>30.7923927903175</v>
      </c>
      <c r="B48">
        <v>14.296949560117</v>
      </c>
      <c r="C48">
        <v>7.1741122803359696</v>
      </c>
      <c r="D48">
        <v>5.9458889337175798</v>
      </c>
      <c r="E48">
        <v>-0.81654378015448903</v>
      </c>
      <c r="F48">
        <v>1.1056026157836301E-3</v>
      </c>
      <c r="G48">
        <v>8.5932338061582902E-2</v>
      </c>
      <c r="H48">
        <v>0.64133346583903394</v>
      </c>
      <c r="I48">
        <v>-1.55730999241724E-2</v>
      </c>
    </row>
    <row r="49" spans="1:9" x14ac:dyDescent="0.25">
      <c r="A49">
        <v>34.551213085651298</v>
      </c>
      <c r="B49">
        <v>14.668828843455699</v>
      </c>
      <c r="C49">
        <v>6.5274419682282296</v>
      </c>
      <c r="D49">
        <v>5.31048677283166</v>
      </c>
      <c r="E49">
        <v>-0.83059192020624295</v>
      </c>
      <c r="F49">
        <v>7.1727134673439598E-4</v>
      </c>
      <c r="G49">
        <v>7.6684881579947406E-2</v>
      </c>
      <c r="H49">
        <v>0.61860447892149895</v>
      </c>
      <c r="I49">
        <v>-1.5698582703999299E-2</v>
      </c>
    </row>
    <row r="50" spans="1:9" x14ac:dyDescent="0.25">
      <c r="A50">
        <v>38.6483111977577</v>
      </c>
      <c r="B50">
        <v>15.003723705481701</v>
      </c>
      <c r="C50">
        <v>5.9249429378723999</v>
      </c>
      <c r="D50">
        <v>4.72615090364968</v>
      </c>
      <c r="E50">
        <v>-0.83962080081574397</v>
      </c>
      <c r="F50">
        <v>5.0113643965417104E-4</v>
      </c>
      <c r="G50">
        <v>6.7992957981463195E-2</v>
      </c>
      <c r="H50">
        <v>0.59728221966877904</v>
      </c>
      <c r="I50">
        <v>-1.50936372091996E-2</v>
      </c>
    </row>
    <row r="51" spans="1:9" x14ac:dyDescent="0.25">
      <c r="A51">
        <v>43.1141293048858</v>
      </c>
      <c r="B51">
        <v>15.3085530906133</v>
      </c>
      <c r="C51">
        <v>5.3742473492093197</v>
      </c>
      <c r="D51">
        <v>4.1985587681749799</v>
      </c>
      <c r="E51">
        <v>-0.84438190576053196</v>
      </c>
      <c r="F51">
        <v>4.9258712006814505E-4</v>
      </c>
      <c r="G51">
        <v>5.9913698345664498E-2</v>
      </c>
      <c r="H51">
        <v>0.57766686976633896</v>
      </c>
      <c r="I51">
        <v>-1.4004925237230299E-2</v>
      </c>
    </row>
    <row r="52" spans="1:9" x14ac:dyDescent="0.25">
      <c r="A52">
        <v>47.981887757778097</v>
      </c>
      <c r="B52">
        <v>15.5891735277288</v>
      </c>
      <c r="C52">
        <v>4.8778697395391601</v>
      </c>
      <c r="D52">
        <v>3.72894849125773</v>
      </c>
      <c r="E52">
        <v>-0.845388859111318</v>
      </c>
      <c r="F52">
        <v>5.6140406772616197E-4</v>
      </c>
      <c r="G52">
        <v>5.2499820935961602E-2</v>
      </c>
      <c r="H52">
        <v>0.56003871859676302</v>
      </c>
      <c r="I52">
        <v>-1.26487934924674E-2</v>
      </c>
    </row>
    <row r="53" spans="1:9" x14ac:dyDescent="0.25">
      <c r="A53">
        <v>53.287820518016801</v>
      </c>
      <c r="B53">
        <v>15.850457119118399</v>
      </c>
      <c r="C53">
        <v>4.4354232788009504</v>
      </c>
      <c r="D53">
        <v>3.31624326362761</v>
      </c>
      <c r="E53">
        <v>-0.84306894577048597</v>
      </c>
      <c r="F53">
        <v>8.0456576208309599E-4</v>
      </c>
      <c r="G53">
        <v>4.5762756327637502E-2</v>
      </c>
      <c r="H53">
        <v>0.54424525077256902</v>
      </c>
      <c r="I53">
        <v>-1.11830234915733E-2</v>
      </c>
    </row>
    <row r="54" spans="1:9" x14ac:dyDescent="0.25">
      <c r="A54">
        <v>59.071175158023799</v>
      </c>
      <c r="B54">
        <v>16.096396016251301</v>
      </c>
      <c r="C54">
        <v>4.0442089546104301</v>
      </c>
      <c r="D54">
        <v>2.9571498301399499</v>
      </c>
      <c r="E54">
        <v>-0.83769129707739598</v>
      </c>
      <c r="F54">
        <v>1.1087387797848701E-3</v>
      </c>
      <c r="G54">
        <v>3.9731164398228297E-2</v>
      </c>
      <c r="H54">
        <v>0.53011858809579804</v>
      </c>
      <c r="I54">
        <v>-9.7386734579151899E-3</v>
      </c>
    </row>
    <row r="55" spans="1:9" x14ac:dyDescent="0.25">
      <c r="A55">
        <v>65.375131070613804</v>
      </c>
      <c r="B55">
        <v>16.330367287915202</v>
      </c>
      <c r="C55">
        <v>3.6993404477016099</v>
      </c>
      <c r="D55">
        <v>2.6462522971162601</v>
      </c>
      <c r="E55">
        <v>-0.82947230958778095</v>
      </c>
      <c r="F55">
        <v>1.20406944551019E-3</v>
      </c>
      <c r="G55">
        <v>3.4417497515616E-2</v>
      </c>
      <c r="H55">
        <v>0.51762507750527398</v>
      </c>
      <c r="I55">
        <v>-8.4045352335824098E-3</v>
      </c>
    </row>
    <row r="56" spans="1:9" x14ac:dyDescent="0.25">
      <c r="A56">
        <v>72.246375679969702</v>
      </c>
      <c r="B56">
        <v>16.555180007886101</v>
      </c>
      <c r="C56">
        <v>3.3952102831335602</v>
      </c>
      <c r="D56">
        <v>2.37765165240249</v>
      </c>
      <c r="E56">
        <v>-0.81864789987683395</v>
      </c>
      <c r="F56">
        <v>8.3531158634024495E-4</v>
      </c>
      <c r="G56">
        <v>2.9771940059047299E-2</v>
      </c>
      <c r="H56">
        <v>0.50642692492615504</v>
      </c>
      <c r="I56">
        <v>-7.21742736280836E-3</v>
      </c>
    </row>
    <row r="57" spans="1:9" x14ac:dyDescent="0.25">
      <c r="A57">
        <v>79.736069738864799</v>
      </c>
      <c r="B57">
        <v>16.7728810182921</v>
      </c>
      <c r="C57">
        <v>3.1257287964763201</v>
      </c>
      <c r="D57">
        <v>2.14528678155791</v>
      </c>
      <c r="E57">
        <v>-0.805434913859435</v>
      </c>
      <c r="F57">
        <v>4.3264455246934999E-4</v>
      </c>
      <c r="G57">
        <v>2.5714455884557699E-2</v>
      </c>
      <c r="H57">
        <v>0.49582412793547898</v>
      </c>
      <c r="I57">
        <v>-6.1799442352694798E-3</v>
      </c>
    </row>
    <row r="58" spans="1:9" x14ac:dyDescent="0.25">
      <c r="A58">
        <v>87.899753153324099</v>
      </c>
      <c r="B58">
        <v>16.984885892193802</v>
      </c>
      <c r="C58">
        <v>2.8846170234828601</v>
      </c>
      <c r="D58">
        <v>1.9430942430278999</v>
      </c>
      <c r="E58">
        <v>-0.78985604368477902</v>
      </c>
      <c r="F58">
        <v>5.32272804732353E-4</v>
      </c>
      <c r="G58">
        <v>2.21890908064937E-2</v>
      </c>
      <c r="H58">
        <v>0.48563072592343798</v>
      </c>
      <c r="I58">
        <v>-5.2864575593268301E-3</v>
      </c>
    </row>
    <row r="59" spans="1:9" x14ac:dyDescent="0.25">
      <c r="A59">
        <v>96.798263192176805</v>
      </c>
      <c r="B59">
        <v>17.1925557575337</v>
      </c>
      <c r="C59">
        <v>2.6658809429591201</v>
      </c>
      <c r="D59">
        <v>1.7653206489217499</v>
      </c>
      <c r="E59">
        <v>-0.77179707748974002</v>
      </c>
      <c r="F59">
        <v>1.0348724534305299E-3</v>
      </c>
      <c r="G59">
        <v>1.9143784289840201E-2</v>
      </c>
      <c r="H59">
        <v>0.47604975898244201</v>
      </c>
      <c r="I59">
        <v>-4.5256566789687799E-3</v>
      </c>
    </row>
    <row r="60" spans="1:9" x14ac:dyDescent="0.25">
      <c r="A60">
        <v>106.497616767883</v>
      </c>
      <c r="B60">
        <v>17.396926543038301</v>
      </c>
      <c r="C60">
        <v>2.4651238041314998</v>
      </c>
      <c r="D60">
        <v>1.6078277452571099</v>
      </c>
      <c r="E60">
        <v>-0.75122676987998505</v>
      </c>
      <c r="F60">
        <v>1.52340570270172E-3</v>
      </c>
      <c r="G60">
        <v>1.6505935669147501E-2</v>
      </c>
      <c r="H60">
        <v>0.46690178718018599</v>
      </c>
      <c r="I60">
        <v>-3.8745945738086298E-3</v>
      </c>
    </row>
    <row r="61" spans="1:9" x14ac:dyDescent="0.25">
      <c r="A61">
        <v>117.06990510225199</v>
      </c>
      <c r="B61">
        <v>17.598784024190099</v>
      </c>
      <c r="C61">
        <v>2.2789348045989701</v>
      </c>
      <c r="D61">
        <v>1.4668039727312501</v>
      </c>
      <c r="E61">
        <v>-0.72793498551037805</v>
      </c>
      <c r="F61">
        <v>1.97531921782053E-3</v>
      </c>
      <c r="G61">
        <v>1.4208090138771501E-2</v>
      </c>
      <c r="H61">
        <v>0.45816710025858898</v>
      </c>
      <c r="I61">
        <v>-3.3094021373844002E-3</v>
      </c>
    </row>
    <row r="62" spans="1:9" x14ac:dyDescent="0.25">
      <c r="A62">
        <v>128.593670427799</v>
      </c>
      <c r="B62">
        <v>17.7988404019885</v>
      </c>
      <c r="C62">
        <v>2.1052753527783299</v>
      </c>
      <c r="D62">
        <v>1.3396409394367701</v>
      </c>
      <c r="E62">
        <v>-0.70180999147905598</v>
      </c>
      <c r="F62">
        <v>2.74871160777898E-3</v>
      </c>
      <c r="G62">
        <v>1.2202910965772799E-2</v>
      </c>
      <c r="H62">
        <v>0.44971042542601602</v>
      </c>
      <c r="I62">
        <v>-2.81962725455614E-3</v>
      </c>
    </row>
    <row r="63" spans="1:9" x14ac:dyDescent="0.25">
      <c r="A63">
        <v>141.15461230278001</v>
      </c>
      <c r="B63">
        <v>17.997591568451401</v>
      </c>
      <c r="C63">
        <v>1.94123329661124</v>
      </c>
      <c r="D63">
        <v>1.2236067202810601</v>
      </c>
      <c r="E63">
        <v>-0.67252264449352095</v>
      </c>
      <c r="F63">
        <v>3.00207819173083E-3</v>
      </c>
      <c r="G63">
        <v>1.04426179276808E-2</v>
      </c>
      <c r="H63">
        <v>0.44146218152102601</v>
      </c>
      <c r="I63">
        <v>-2.39072801572457E-3</v>
      </c>
    </row>
    <row r="64" spans="1:9" x14ac:dyDescent="0.25">
      <c r="A64">
        <v>154.84601140022201</v>
      </c>
      <c r="B64">
        <v>18.195228817235702</v>
      </c>
      <c r="C64">
        <v>1.7836126762176701</v>
      </c>
      <c r="D64">
        <v>1.1160354663297301</v>
      </c>
      <c r="E64">
        <v>-0.63992628239975902</v>
      </c>
      <c r="F64">
        <v>2.5504929988555401E-3</v>
      </c>
      <c r="G64">
        <v>8.8959980916007899E-3</v>
      </c>
      <c r="H64">
        <v>0.43346374816646999</v>
      </c>
      <c r="I64">
        <v>-2.0146467062916E-3</v>
      </c>
    </row>
    <row r="65" spans="1:9" x14ac:dyDescent="0.25">
      <c r="A65">
        <v>169.76969480514501</v>
      </c>
      <c r="B65">
        <v>18.392415790181602</v>
      </c>
      <c r="C65">
        <v>1.6314391793457601</v>
      </c>
      <c r="D65">
        <v>1.01521414859185</v>
      </c>
      <c r="E65">
        <v>-0.603445415605111</v>
      </c>
      <c r="F65" s="1">
        <v>2.49802133163359E-3</v>
      </c>
      <c r="G65">
        <v>7.5256082719117002E-3</v>
      </c>
      <c r="H65">
        <v>0.425692893152466</v>
      </c>
      <c r="I65">
        <v>-1.68053482526151E-3</v>
      </c>
    </row>
    <row r="66" spans="1:9" x14ac:dyDescent="0.25">
      <c r="A66">
        <v>186.03645980358101</v>
      </c>
      <c r="B66">
        <v>18.589102456640401</v>
      </c>
      <c r="C66">
        <v>1.4835818318260801</v>
      </c>
      <c r="D66">
        <v>0.919618569381491</v>
      </c>
      <c r="E66">
        <v>-0.56295205097474799</v>
      </c>
      <c r="F66">
        <v>3.00901736915707E-3</v>
      </c>
      <c r="G66">
        <v>6.2990251337674301E-3</v>
      </c>
      <c r="H66">
        <v>0.41806757747142598</v>
      </c>
      <c r="I66">
        <v>-1.38150264409154E-3</v>
      </c>
    </row>
    <row r="67" spans="1:9" x14ac:dyDescent="0.25">
      <c r="A67">
        <v>203.76720398664401</v>
      </c>
      <c r="B67">
        <v>18.784722293090098</v>
      </c>
      <c r="C67">
        <v>1.3375279411093199</v>
      </c>
      <c r="D67">
        <v>0.82745399359503002</v>
      </c>
      <c r="E67">
        <v>-0.51809121374388301</v>
      </c>
      <c r="F67">
        <v>3.2103580406713599E-3</v>
      </c>
      <c r="G67">
        <v>5.1936028684023503E-3</v>
      </c>
      <c r="H67">
        <v>0.409978347508895</v>
      </c>
      <c r="I67">
        <v>-1.1107633366391301E-3</v>
      </c>
    </row>
    <row r="68" spans="1:9" x14ac:dyDescent="0.25">
      <c r="A68">
        <v>223.09376105666101</v>
      </c>
      <c r="B68">
        <v>18.9780922218375</v>
      </c>
      <c r="C68">
        <v>1.19055422924247</v>
      </c>
      <c r="D68">
        <v>0.73664195774211805</v>
      </c>
      <c r="E68">
        <v>-0.46830350222398898</v>
      </c>
      <c r="F68">
        <v>2.4273191710368499E-3</v>
      </c>
      <c r="G68">
        <v>4.2052957927154796E-3</v>
      </c>
      <c r="H68">
        <v>0.40250539106292599</v>
      </c>
      <c r="I68">
        <v>-8.7192879532537501E-4</v>
      </c>
    </row>
    <row r="69" spans="1:9" x14ac:dyDescent="0.25">
      <c r="A69">
        <v>244.15970131754801</v>
      </c>
      <c r="B69">
        <v>19.167049153070899</v>
      </c>
      <c r="C69">
        <v>1.0432384579985401</v>
      </c>
      <c r="D69">
        <v>0.64708450489042502</v>
      </c>
      <c r="E69">
        <v>-0.413091477822424</v>
      </c>
      <c r="F69">
        <v>2.1172628073252001E-3</v>
      </c>
      <c r="G69">
        <v>3.3217113881447301E-3</v>
      </c>
      <c r="H69">
        <v>0.394467307406839</v>
      </c>
      <c r="I69">
        <v>-6.61161478486453E-4</v>
      </c>
    </row>
    <row r="70" spans="1:9" x14ac:dyDescent="0.25">
      <c r="A70">
        <v>267.12157949805197</v>
      </c>
      <c r="B70">
        <v>19.347655380439001</v>
      </c>
      <c r="C70">
        <v>0.89616747100080796</v>
      </c>
      <c r="D70">
        <v>0.55662091314851503</v>
      </c>
      <c r="E70">
        <v>-0.35231660560380201</v>
      </c>
      <c r="F70">
        <v>1.91230219885389E-3</v>
      </c>
      <c r="G70">
        <v>2.5546455666251599E-3</v>
      </c>
      <c r="H70">
        <v>0.386985025895072</v>
      </c>
      <c r="I70">
        <v>-4.8478270939849601E-4</v>
      </c>
    </row>
    <row r="71" spans="1:9" x14ac:dyDescent="0.25">
      <c r="A71">
        <v>292.15002954006098</v>
      </c>
      <c r="B71">
        <v>19.515904037576199</v>
      </c>
      <c r="C71">
        <v>0.75158107957804499</v>
      </c>
      <c r="D71">
        <v>0.46496073115714498</v>
      </c>
      <c r="E71">
        <v>-0.28471830453765901</v>
      </c>
      <c r="F71">
        <v>2.69607510956169E-3</v>
      </c>
      <c r="G71">
        <v>1.9136353386320401E-3</v>
      </c>
      <c r="H71">
        <v>0.38184196720463598</v>
      </c>
      <c r="I71">
        <v>-3.4307422225157198E-4</v>
      </c>
    </row>
    <row r="72" spans="1:9" x14ac:dyDescent="0.25">
      <c r="A72">
        <v>319.43101242184599</v>
      </c>
      <c r="B72">
        <v>19.665102789472801</v>
      </c>
      <c r="C72">
        <v>0.61414543907858299</v>
      </c>
      <c r="D72">
        <v>0.374755897360735</v>
      </c>
      <c r="E72">
        <v>-0.21046932385150599</v>
      </c>
      <c r="F72">
        <v>3.3210479522152599E-3</v>
      </c>
      <c r="G72">
        <v>1.4050155748896701E-3</v>
      </c>
      <c r="H72">
        <v>0.38123001238366</v>
      </c>
      <c r="I72">
        <v>-2.3927332496821E-4</v>
      </c>
    </row>
    <row r="73" spans="1:9" x14ac:dyDescent="0.25">
      <c r="A73">
        <v>349.16732590645501</v>
      </c>
      <c r="B73">
        <v>19.781897867392701</v>
      </c>
      <c r="C73">
        <v>0.49979933867234599</v>
      </c>
      <c r="D73">
        <v>0.29781346927813002</v>
      </c>
      <c r="E73">
        <v>-0.128201480511101</v>
      </c>
      <c r="F73">
        <v>1.63126770471644E-3</v>
      </c>
      <c r="G73">
        <v>1.0449687226085399E-3</v>
      </c>
      <c r="H73">
        <v>0.382988337849063</v>
      </c>
      <c r="I73">
        <v>-1.74175779944411E-4</v>
      </c>
    </row>
    <row r="74" spans="1:9" x14ac:dyDescent="0.25">
      <c r="A74">
        <v>379.83785875141598</v>
      </c>
      <c r="B74">
        <v>19.8433237320892</v>
      </c>
      <c r="C74">
        <v>0.43556713652037599</v>
      </c>
      <c r="D74">
        <v>0.25536458031232601</v>
      </c>
      <c r="E74">
        <v>-4.2565369985318603E-2</v>
      </c>
      <c r="F74">
        <v>9.5299915391171503E-4</v>
      </c>
      <c r="G74">
        <v>8.6021835853174503E-4</v>
      </c>
      <c r="H74">
        <v>0.40028586622003498</v>
      </c>
      <c r="I74" s="1">
        <v>-1.39674269621824E-4</v>
      </c>
    </row>
    <row r="75" spans="1:9" x14ac:dyDescent="0.25">
      <c r="A75" t="s">
        <v>479</v>
      </c>
      <c r="B75" t="s">
        <v>473</v>
      </c>
      <c r="C75" t="s">
        <v>474</v>
      </c>
      <c r="D75" t="s">
        <v>475</v>
      </c>
      <c r="E75" t="s">
        <v>476</v>
      </c>
      <c r="F75" t="s">
        <v>477</v>
      </c>
      <c r="G75" t="s">
        <v>390</v>
      </c>
      <c r="H75" t="s">
        <v>478</v>
      </c>
      <c r="I75" t="s">
        <v>471</v>
      </c>
    </row>
    <row r="76" spans="1:9" x14ac:dyDescent="0.25">
      <c r="A76">
        <v>-141.555516719818</v>
      </c>
      <c r="B76">
        <v>17.7686992132897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25">
      <c r="A77">
        <v>-128.95890593528699</v>
      </c>
      <c r="B77">
        <v>17.7686992132897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25">
      <c r="A78">
        <v>-117.402367591857</v>
      </c>
      <c r="B78">
        <v>17.7686992132897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25">
      <c r="A79">
        <v>-106.80001378059301</v>
      </c>
      <c r="B79">
        <v>17.7686992132897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25">
      <c r="A80">
        <v>-97.073161005973802</v>
      </c>
      <c r="B80">
        <v>17.7686992132897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-88.149435520172105</v>
      </c>
      <c r="B81">
        <v>17.7686992132897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-79.962490797042804</v>
      </c>
      <c r="B82">
        <v>17.7686992132897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-72.451583743095298</v>
      </c>
      <c r="B83">
        <v>17.7686992132897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-65.560821294784503</v>
      </c>
      <c r="B84">
        <v>17.7686992132897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-59.238972067832897</v>
      </c>
      <c r="B85">
        <v>17.7686992132897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-53.439136743545497</v>
      </c>
      <c r="B86">
        <v>17.7686992132897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-48.118183016777003</v>
      </c>
      <c r="B87">
        <v>17.7686992132897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-43.236604332923797</v>
      </c>
      <c r="B88">
        <v>17.7686992132897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-38.758049011230398</v>
      </c>
      <c r="B89">
        <v>17.7686992132897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-34.649320244789102</v>
      </c>
      <c r="B90">
        <v>17.7686992132897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-30.879811048507602</v>
      </c>
      <c r="B91">
        <v>17.7686992132897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-27.4215984344482</v>
      </c>
      <c r="B92">
        <v>17.7686992132897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-24.248878359794599</v>
      </c>
      <c r="B93">
        <v>17.7686992132897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-21.3381540775299</v>
      </c>
      <c r="B94">
        <v>17.7686992132897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-18.6677181720733</v>
      </c>
      <c r="B95">
        <v>17.7686992132897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-16.2178409099578</v>
      </c>
      <c r="B96">
        <v>17.7686992132897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-13.9702051877975</v>
      </c>
      <c r="B97">
        <v>17.7686992132897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-11.908189058303799</v>
      </c>
      <c r="B98">
        <v>17.7686992132897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-10.016394853591899</v>
      </c>
      <c r="B99">
        <v>17.7686992132897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-8.2808375358581507</v>
      </c>
      <c r="B100">
        <v>17.7686992132897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-6.6885209083557102</v>
      </c>
      <c r="B101">
        <v>17.7686992132897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-5.2277201414108196</v>
      </c>
      <c r="B102">
        <v>17.7686992132897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-3.88755798339843</v>
      </c>
      <c r="B103">
        <v>17.7686992132897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-2.6580518484115601</v>
      </c>
      <c r="B104">
        <v>17.7686992132897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-1.5300196409225399</v>
      </c>
      <c r="B105">
        <v>17.7686992132897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-0.49517393112182601</v>
      </c>
      <c r="B106">
        <v>17.7686992132897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0.49376130104064903</v>
      </c>
      <c r="B107">
        <v>0.49310149940204401</v>
      </c>
      <c r="C107">
        <v>9.1200042823402292</v>
      </c>
      <c r="D107">
        <v>0.43185441428841398</v>
      </c>
      <c r="E107">
        <v>-6.3530992442171E-4</v>
      </c>
      <c r="F107">
        <v>2.7137251144519102E-4</v>
      </c>
      <c r="G107">
        <v>1.8082221019206701E-2</v>
      </c>
      <c r="H107">
        <v>0.22435817470868899</v>
      </c>
      <c r="I107" s="1">
        <v>4.6326088719521698E-7</v>
      </c>
    </row>
    <row r="108" spans="1:9" x14ac:dyDescent="0.25">
      <c r="A108">
        <v>1.5257111191749499</v>
      </c>
      <c r="B108">
        <v>1.52208185138654</v>
      </c>
      <c r="C108">
        <v>9.1735366812827106</v>
      </c>
      <c r="D108">
        <v>1.3658217530633401</v>
      </c>
      <c r="E108">
        <v>-5.4605833634923297E-3</v>
      </c>
      <c r="F108">
        <v>8.4124882038759104E-4</v>
      </c>
      <c r="G108">
        <v>4.66795248304629E-2</v>
      </c>
      <c r="H108">
        <v>0.69596137956503901</v>
      </c>
      <c r="I108" s="1">
        <v>2.7637877110250902E-5</v>
      </c>
    </row>
    <row r="109" spans="1:9" x14ac:dyDescent="0.25">
      <c r="A109">
        <v>2.6505178213119498</v>
      </c>
      <c r="B109">
        <v>2.63115097152542</v>
      </c>
      <c r="C109">
        <v>9.3309387696535797</v>
      </c>
      <c r="D109">
        <v>2.47338397938594</v>
      </c>
      <c r="E109">
        <v>-2.0700352767022999E-2</v>
      </c>
      <c r="F109">
        <v>1.48270774626812E-3</v>
      </c>
      <c r="G109">
        <v>8.8269000927706398E-2</v>
      </c>
      <c r="H109">
        <v>0.83365934453860002</v>
      </c>
      <c r="I109">
        <v>1.8359632815747001E-4</v>
      </c>
    </row>
    <row r="110" spans="1:9" x14ac:dyDescent="0.25">
      <c r="A110">
        <v>3.8765159249305698</v>
      </c>
      <c r="B110">
        <v>3.8099245572323701</v>
      </c>
      <c r="C110">
        <v>9.6642965989303704</v>
      </c>
      <c r="D110">
        <v>3.7985544510518299</v>
      </c>
      <c r="E110">
        <v>-5.1663246996357E-2</v>
      </c>
      <c r="F110">
        <v>2.1701881790038998E-3</v>
      </c>
      <c r="G110">
        <v>0.12520954596595599</v>
      </c>
      <c r="H110">
        <v>0.87453264678859599</v>
      </c>
      <c r="I110">
        <v>4.9448876791760403E-4</v>
      </c>
    </row>
    <row r="111" spans="1:9" x14ac:dyDescent="0.25">
      <c r="A111">
        <v>5.2129346132278398</v>
      </c>
      <c r="B111">
        <v>5.0363052481646502</v>
      </c>
      <c r="C111">
        <v>10.203998040196799</v>
      </c>
      <c r="D111">
        <v>5.3084140407657001</v>
      </c>
      <c r="E111">
        <v>-0.103773792530963</v>
      </c>
      <c r="F111">
        <v>2.8095099713209199E-3</v>
      </c>
      <c r="G111">
        <v>0.146427617899163</v>
      </c>
      <c r="H111">
        <v>0.88113572562556397</v>
      </c>
      <c r="I111">
        <v>1.0694251727986501E-3</v>
      </c>
    </row>
    <row r="112" spans="1:9" x14ac:dyDescent="0.25">
      <c r="A112">
        <v>6.6695916652679399</v>
      </c>
      <c r="B112">
        <v>6.2755739813531601</v>
      </c>
      <c r="C112">
        <v>10.8795457981614</v>
      </c>
      <c r="D112">
        <v>6.8568364888328697</v>
      </c>
      <c r="E112">
        <v>-0.178370775981537</v>
      </c>
      <c r="F112" s="1">
        <v>3.26287363222846E-3</v>
      </c>
      <c r="G112">
        <v>0.15209366245319</v>
      </c>
      <c r="H112">
        <v>0.87062054920586396</v>
      </c>
      <c r="I112">
        <v>2.5511591272267299E-3</v>
      </c>
    </row>
    <row r="113" spans="1:9" x14ac:dyDescent="0.25">
      <c r="A113">
        <v>8.2573878765106201</v>
      </c>
      <c r="B113">
        <v>7.4851355453814197</v>
      </c>
      <c r="C113">
        <v>11.525247190365899</v>
      </c>
      <c r="D113">
        <v>8.2201310295805499</v>
      </c>
      <c r="E113">
        <v>-0.27041579104279301</v>
      </c>
      <c r="F113">
        <v>3.4333162475117499E-3</v>
      </c>
      <c r="G113">
        <v>0.14994973627695701</v>
      </c>
      <c r="H113">
        <v>0.85127930337664004</v>
      </c>
      <c r="I113">
        <v>6.1308543366554403E-3</v>
      </c>
    </row>
    <row r="114" spans="1:9" x14ac:dyDescent="0.25">
      <c r="A114">
        <v>9.9880245327949506</v>
      </c>
      <c r="B114">
        <v>8.6242429198558295</v>
      </c>
      <c r="C114">
        <v>11.962748299811199</v>
      </c>
      <c r="D114">
        <v>9.1993765028177901</v>
      </c>
      <c r="E114">
        <v>-0.36984210217735802</v>
      </c>
      <c r="F114">
        <v>3.3297298414641202E-3</v>
      </c>
      <c r="G114">
        <v>0.14715498220882001</v>
      </c>
      <c r="H114">
        <v>0.82919496993632702</v>
      </c>
      <c r="I114">
        <v>1.1071679640838101E-2</v>
      </c>
    </row>
    <row r="115" spans="1:9" x14ac:dyDescent="0.25">
      <c r="A115">
        <v>11.874474287032999</v>
      </c>
      <c r="B115">
        <v>9.6638444842631692</v>
      </c>
      <c r="C115">
        <v>12.0893924316987</v>
      </c>
      <c r="D115">
        <v>9.7074649493576892</v>
      </c>
      <c r="E115">
        <v>-0.466029369286805</v>
      </c>
      <c r="F115">
        <v>3.06954489819866E-3</v>
      </c>
      <c r="G115">
        <v>0.14557172366436899</v>
      </c>
      <c r="H115">
        <v>0.80733983835088996</v>
      </c>
      <c r="I115">
        <v>1.33054069224279E-2</v>
      </c>
    </row>
    <row r="116" spans="1:9" x14ac:dyDescent="0.25">
      <c r="A116">
        <v>13.9306750893592</v>
      </c>
      <c r="B116">
        <v>10.590960228242899</v>
      </c>
      <c r="C116">
        <v>11.9015593334552</v>
      </c>
      <c r="D116">
        <v>9.7760482373487303</v>
      </c>
      <c r="E116">
        <v>-0.55170171681949598</v>
      </c>
      <c r="F116">
        <v>2.8077322394105802E-3</v>
      </c>
      <c r="G116">
        <v>0.1433697056804</v>
      </c>
      <c r="H116">
        <v>0.78574139352079297</v>
      </c>
      <c r="I116">
        <v>1.03301367821716E-2</v>
      </c>
    </row>
    <row r="117" spans="1:9" x14ac:dyDescent="0.25">
      <c r="A117">
        <v>16.171883344650201</v>
      </c>
      <c r="B117">
        <v>11.4064531804854</v>
      </c>
      <c r="C117">
        <v>11.459685313093299</v>
      </c>
      <c r="D117">
        <v>9.5038929538521604</v>
      </c>
      <c r="E117">
        <v>-0.62379751554358098</v>
      </c>
      <c r="F117">
        <v>2.6223413532147299E-3</v>
      </c>
      <c r="G117">
        <v>0.138707549669074</v>
      </c>
      <c r="H117">
        <v>0.76359595684070103</v>
      </c>
      <c r="I117">
        <v>3.7910669280647102E-3</v>
      </c>
    </row>
    <row r="118" spans="1:9" x14ac:dyDescent="0.25">
      <c r="A118">
        <v>18.614838719367899</v>
      </c>
      <c r="B118">
        <v>12.119555467167</v>
      </c>
      <c r="C118">
        <v>10.843280834706</v>
      </c>
      <c r="D118">
        <v>9.0026379126484297</v>
      </c>
      <c r="E118">
        <v>-0.68224434150897295</v>
      </c>
      <c r="F118">
        <v>2.4579362764689302E-3</v>
      </c>
      <c r="G118">
        <v>0.13131176950960399</v>
      </c>
      <c r="H118">
        <v>0.74050272624487601</v>
      </c>
      <c r="I118">
        <v>-3.34950777351368E-3</v>
      </c>
    </row>
    <row r="119" spans="1:9" x14ac:dyDescent="0.25">
      <c r="A119">
        <v>21.2777170538902</v>
      </c>
      <c r="B119">
        <v>12.7429009307036</v>
      </c>
      <c r="C119">
        <v>10.1242094444387</v>
      </c>
      <c r="D119">
        <v>8.3673527707108502</v>
      </c>
      <c r="E119">
        <v>-0.72841843049711796</v>
      </c>
      <c r="F119">
        <v>2.2348178341759198E-3</v>
      </c>
      <c r="G119">
        <v>0.122000777782325</v>
      </c>
      <c r="H119">
        <v>0.71653427722614704</v>
      </c>
      <c r="I119">
        <v>-9.2586934247178704E-3</v>
      </c>
    </row>
    <row r="120" spans="1:9" x14ac:dyDescent="0.25">
      <c r="A120">
        <v>24.180224537849401</v>
      </c>
      <c r="B120">
        <v>13.289509311677</v>
      </c>
      <c r="C120">
        <v>9.3581990785423805</v>
      </c>
      <c r="D120">
        <v>7.66879577959679</v>
      </c>
      <c r="E120">
        <v>-0.76412497768434096</v>
      </c>
      <c r="F120">
        <v>1.9254588279057599E-3</v>
      </c>
      <c r="G120">
        <v>0.111792443190446</v>
      </c>
      <c r="H120">
        <v>0.69205833760442304</v>
      </c>
      <c r="I120">
        <v>-1.34037966632741E-2</v>
      </c>
    </row>
    <row r="121" spans="1:9" x14ac:dyDescent="0.25">
      <c r="A121">
        <v>27.343950867652801</v>
      </c>
      <c r="B121">
        <v>13.771432110467</v>
      </c>
      <c r="C121">
        <v>8.5853892448540101</v>
      </c>
      <c r="D121">
        <v>6.9559298008494501</v>
      </c>
      <c r="E121">
        <v>-0.79112176610962504</v>
      </c>
      <c r="F121">
        <v>1.4843402106009299E-3</v>
      </c>
      <c r="G121">
        <v>0.10143844384732099</v>
      </c>
      <c r="H121">
        <v>0.66755852628242196</v>
      </c>
      <c r="I121">
        <v>-1.59091286169315E-2</v>
      </c>
    </row>
    <row r="122" spans="1:9" x14ac:dyDescent="0.25">
      <c r="A122">
        <v>30.7923927903175</v>
      </c>
      <c r="B122">
        <v>14.1993207050348</v>
      </c>
      <c r="C122">
        <v>7.8333706045668796</v>
      </c>
      <c r="D122">
        <v>6.2610535098587601</v>
      </c>
      <c r="E122">
        <v>-0.81094223928638198</v>
      </c>
      <c r="F122">
        <v>9.2902827784529802E-4</v>
      </c>
      <c r="G122">
        <v>9.1362438598507498E-2</v>
      </c>
      <c r="H122">
        <v>0.64354681184708995</v>
      </c>
      <c r="I122">
        <v>-1.7079693761080698E-2</v>
      </c>
    </row>
    <row r="123" spans="1:9" x14ac:dyDescent="0.25">
      <c r="A123">
        <v>34.551213085651298</v>
      </c>
      <c r="B123">
        <v>14.582359398142501</v>
      </c>
      <c r="C123">
        <v>7.1200571073859402</v>
      </c>
      <c r="D123">
        <v>5.6043750366629901</v>
      </c>
      <c r="E123">
        <v>-0.82487863825701102</v>
      </c>
      <c r="F123">
        <v>4.1384424450827199E-4</v>
      </c>
      <c r="G123">
        <v>8.1751316195993295E-2</v>
      </c>
      <c r="H123">
        <v>0.62050536002194001</v>
      </c>
      <c r="I123">
        <v>-1.7219004955055201E-2</v>
      </c>
    </row>
    <row r="124" spans="1:9" x14ac:dyDescent="0.25">
      <c r="A124">
        <v>38.6483111977577</v>
      </c>
      <c r="B124">
        <v>14.9283660304593</v>
      </c>
      <c r="C124">
        <v>6.4561431996480598</v>
      </c>
      <c r="D124">
        <v>4.9975419371194096</v>
      </c>
      <c r="E124">
        <v>-0.83394492108777696</v>
      </c>
      <c r="F124">
        <v>1.3499315543224799E-4</v>
      </c>
      <c r="G124">
        <v>7.2662827338929703E-2</v>
      </c>
      <c r="H124">
        <v>0.59882548550461501</v>
      </c>
      <c r="I124">
        <v>-1.6580842677269E-2</v>
      </c>
    </row>
    <row r="125" spans="1:9" x14ac:dyDescent="0.25">
      <c r="A125">
        <v>43.1141293048858</v>
      </c>
      <c r="B125">
        <v>15.243950165701101</v>
      </c>
      <c r="C125">
        <v>5.8470286089686798</v>
      </c>
      <c r="D125">
        <v>4.44617107185812</v>
      </c>
      <c r="E125">
        <v>-0.83889306276172604</v>
      </c>
      <c r="F125">
        <v>1.3427038377899201E-4</v>
      </c>
      <c r="G125">
        <v>6.4144168445750299E-2</v>
      </c>
      <c r="H125">
        <v>0.57883373750890499</v>
      </c>
      <c r="I125">
        <v>-1.5408028022301399E-2</v>
      </c>
    </row>
    <row r="126" spans="1:9" x14ac:dyDescent="0.25">
      <c r="A126">
        <v>47.981887757778097</v>
      </c>
      <c r="B126">
        <v>15.5346999698179</v>
      </c>
      <c r="C126">
        <v>5.2943650968700204</v>
      </c>
      <c r="D126">
        <v>3.9518758563059899</v>
      </c>
      <c r="E126">
        <v>-0.84023348819810795</v>
      </c>
      <c r="F126">
        <v>2.8945874432663698E-4</v>
      </c>
      <c r="G126">
        <v>5.6249368823096203E-2</v>
      </c>
      <c r="H126">
        <v>0.56075910791891204</v>
      </c>
      <c r="I126">
        <v>-1.3919041921249899E-2</v>
      </c>
    </row>
    <row r="127" spans="1:9" x14ac:dyDescent="0.25">
      <c r="A127">
        <v>53.287820518016801</v>
      </c>
      <c r="B127">
        <v>15.8052653501602</v>
      </c>
      <c r="C127">
        <v>4.7978058501939804</v>
      </c>
      <c r="D127">
        <v>3.5141734851843598</v>
      </c>
      <c r="E127">
        <v>-0.83838302019770705</v>
      </c>
      <c r="F127">
        <v>6.3305526875789397E-4</v>
      </c>
      <c r="G127">
        <v>4.9009840816482297E-2</v>
      </c>
      <c r="H127">
        <v>0.54444414075156899</v>
      </c>
      <c r="I127">
        <v>-1.22880591667404E-2</v>
      </c>
    </row>
    <row r="128" spans="1:9" x14ac:dyDescent="0.25">
      <c r="A128">
        <v>59.071175158023799</v>
      </c>
      <c r="B128">
        <v>16.059472915609401</v>
      </c>
      <c r="C128">
        <v>4.3548147622459501</v>
      </c>
      <c r="D128">
        <v>3.1304116309218002</v>
      </c>
      <c r="E128">
        <v>-0.83357043481208404</v>
      </c>
      <c r="F128" s="1">
        <v>9.3960565740167003E-4</v>
      </c>
      <c r="G128">
        <v>4.2487453532841203E-2</v>
      </c>
      <c r="H128">
        <v>0.52985868002050396</v>
      </c>
      <c r="I128">
        <v>-1.0667520742422601E-2</v>
      </c>
    </row>
    <row r="129" spans="1:9" x14ac:dyDescent="0.25">
      <c r="A129">
        <v>65.375131070613804</v>
      </c>
      <c r="B129">
        <v>16.300585418599699</v>
      </c>
      <c r="C129">
        <v>3.9610345315395499</v>
      </c>
      <c r="D129">
        <v>2.7957406093322801</v>
      </c>
      <c r="E129">
        <v>-0.82597556532289995</v>
      </c>
      <c r="F129">
        <v>9.6533277500268297E-4</v>
      </c>
      <c r="G129">
        <v>3.6707768300233201E-2</v>
      </c>
      <c r="H129">
        <v>0.51690066684546399</v>
      </c>
      <c r="I129">
        <v>-9.1594966665297893E-3</v>
      </c>
    </row>
    <row r="130" spans="1:9" x14ac:dyDescent="0.25">
      <c r="A130">
        <v>72.246375679969702</v>
      </c>
      <c r="B130">
        <v>16.531309296502801</v>
      </c>
      <c r="C130">
        <v>3.6116520612267702</v>
      </c>
      <c r="D130">
        <v>2.5048524944560202</v>
      </c>
      <c r="E130">
        <v>-0.81579892944435495</v>
      </c>
      <c r="F130">
        <v>5.3649729925808601E-4</v>
      </c>
      <c r="G130">
        <v>3.1637260916892E-2</v>
      </c>
      <c r="H130">
        <v>0.50523809453117796</v>
      </c>
      <c r="I130">
        <v>-7.8146026775307801E-3</v>
      </c>
    </row>
    <row r="131" spans="1:9" x14ac:dyDescent="0.25">
      <c r="A131">
        <v>79.736069738864799</v>
      </c>
      <c r="B131">
        <v>16.753659662450701</v>
      </c>
      <c r="C131">
        <v>3.3010712286795698</v>
      </c>
      <c r="D131">
        <v>2.2521112091897502</v>
      </c>
      <c r="E131">
        <v>-0.80320024557384295</v>
      </c>
      <c r="F131">
        <v>1.3015885463843799E-4</v>
      </c>
      <c r="G131">
        <v>2.7209751848084301E-2</v>
      </c>
      <c r="H131">
        <v>0.49424125851314699</v>
      </c>
      <c r="I131">
        <v>-6.6435584598027904E-3</v>
      </c>
    </row>
    <row r="132" spans="1:9" x14ac:dyDescent="0.25">
      <c r="A132">
        <v>87.899753153324099</v>
      </c>
      <c r="B132">
        <v>16.969116835049402</v>
      </c>
      <c r="C132">
        <v>3.0231816514969898</v>
      </c>
      <c r="D132">
        <v>2.0315369587668801</v>
      </c>
      <c r="E132">
        <v>-0.78815555516282798</v>
      </c>
      <c r="F132">
        <v>2.42606288301182E-4</v>
      </c>
      <c r="G132">
        <v>2.3374654465951501E-2</v>
      </c>
      <c r="H132">
        <v>0.48380242972702697</v>
      </c>
      <c r="I132">
        <v>-5.6423524730163004E-3</v>
      </c>
    </row>
    <row r="133" spans="1:9" x14ac:dyDescent="0.25">
      <c r="A133">
        <v>96.798263192176805</v>
      </c>
      <c r="B133">
        <v>17.1791479814658</v>
      </c>
      <c r="C133">
        <v>2.77217832449423</v>
      </c>
      <c r="D133">
        <v>1.83752255303065</v>
      </c>
      <c r="E133">
        <v>-0.77057595359944298</v>
      </c>
      <c r="F133">
        <v>7.5892699373568797E-4</v>
      </c>
      <c r="G133">
        <v>2.0072859177118201E-2</v>
      </c>
      <c r="H133">
        <v>0.47401977068891799</v>
      </c>
      <c r="I133">
        <v>-4.79510906943326E-3</v>
      </c>
    </row>
    <row r="134" spans="1:9" x14ac:dyDescent="0.25">
      <c r="A134">
        <v>106.497616767883</v>
      </c>
      <c r="B134">
        <v>17.3848843553663</v>
      </c>
      <c r="C134">
        <v>2.5440422451083502</v>
      </c>
      <c r="D134">
        <v>1.6659277943183299</v>
      </c>
      <c r="E134">
        <v>-0.75040625250241899</v>
      </c>
      <c r="F134">
        <v>1.2024653163723101E-3</v>
      </c>
      <c r="G134">
        <v>1.7223911202252001E-2</v>
      </c>
      <c r="H134">
        <v>0.46459306268231598</v>
      </c>
      <c r="I134">
        <v>-4.0755033536819998E-3</v>
      </c>
    </row>
    <row r="135" spans="1:9" x14ac:dyDescent="0.25">
      <c r="A135">
        <v>117.06990510225199</v>
      </c>
      <c r="B135">
        <v>17.587346055466899</v>
      </c>
      <c r="C135">
        <v>2.3354014926098801</v>
      </c>
      <c r="D135">
        <v>1.5128549315652</v>
      </c>
      <c r="E135">
        <v>-0.72739805919640999</v>
      </c>
      <c r="F135">
        <v>1.5238213064163099E-3</v>
      </c>
      <c r="G135">
        <v>1.47555542403026E-2</v>
      </c>
      <c r="H135">
        <v>0.455513227910322</v>
      </c>
      <c r="I135">
        <v>-3.4573082021538198E-3</v>
      </c>
    </row>
    <row r="136" spans="1:9" x14ac:dyDescent="0.25">
      <c r="A136">
        <v>128.593670427799</v>
      </c>
      <c r="B136">
        <v>17.787399625364099</v>
      </c>
      <c r="C136">
        <v>2.1435083815731502</v>
      </c>
      <c r="D136">
        <v>1.3756453121291301</v>
      </c>
      <c r="E136">
        <v>-0.70155567379239303</v>
      </c>
      <c r="F136">
        <v>2.13542906539485E-3</v>
      </c>
      <c r="G136">
        <v>1.26181172699162E-2</v>
      </c>
      <c r="H136">
        <v>0.44678960983843802</v>
      </c>
      <c r="I136">
        <v>-2.9270278421707702E-3</v>
      </c>
    </row>
    <row r="137" spans="1:9" x14ac:dyDescent="0.25">
      <c r="A137">
        <v>141.15461230278001</v>
      </c>
      <c r="B137">
        <v>17.985604285737502</v>
      </c>
      <c r="C137">
        <v>1.9650491718721199</v>
      </c>
      <c r="D137">
        <v>1.25160833216059</v>
      </c>
      <c r="E137">
        <v>-0.67249948667662796</v>
      </c>
      <c r="F137">
        <v>2.2689662061027198E-3</v>
      </c>
      <c r="G137">
        <v>1.07574351079931E-2</v>
      </c>
      <c r="H137">
        <v>0.43838484987529702</v>
      </c>
      <c r="I137">
        <v>-2.46802400765362E-3</v>
      </c>
    </row>
    <row r="138" spans="1:9" x14ac:dyDescent="0.25">
      <c r="A138">
        <v>154.84601140022201</v>
      </c>
      <c r="B138">
        <v>18.182458656034498</v>
      </c>
      <c r="C138">
        <v>1.7968733128782299</v>
      </c>
      <c r="D138">
        <v>1.13791696678361</v>
      </c>
      <c r="E138">
        <v>-0.64002456028741905</v>
      </c>
      <c r="F138">
        <v>1.7869497404679701E-3</v>
      </c>
      <c r="G138">
        <v>9.13256323025422E-3</v>
      </c>
      <c r="H138">
        <v>0.43020815540097501</v>
      </c>
      <c r="I138">
        <v>-2.07061665217523E-3</v>
      </c>
    </row>
    <row r="139" spans="1:9" x14ac:dyDescent="0.25">
      <c r="A139">
        <v>169.76969480514501</v>
      </c>
      <c r="B139">
        <v>18.378746272889</v>
      </c>
      <c r="C139">
        <v>1.63740652260457</v>
      </c>
      <c r="D139">
        <v>1.03247419389438</v>
      </c>
      <c r="E139">
        <v>-0.603670732534621</v>
      </c>
      <c r="F139">
        <v>2.0344442743905301E-3</v>
      </c>
      <c r="G139">
        <v>7.6987802477795804E-3</v>
      </c>
      <c r="H139">
        <v>0.42200975859689599</v>
      </c>
      <c r="I139">
        <v>-1.7186284022507499E-3</v>
      </c>
    </row>
    <row r="140" spans="1:9" x14ac:dyDescent="0.25">
      <c r="A140">
        <v>186.03645980358101</v>
      </c>
      <c r="B140">
        <v>18.574340082365101</v>
      </c>
      <c r="C140">
        <v>1.4847494172045099</v>
      </c>
      <c r="D140">
        <v>0.933564423891597</v>
      </c>
      <c r="E140">
        <v>-0.56328208632071497</v>
      </c>
      <c r="F140">
        <v>2.8264309610933698E-3</v>
      </c>
      <c r="G140">
        <v>6.4248063946322704E-3</v>
      </c>
      <c r="H140">
        <v>0.41384364813946201</v>
      </c>
      <c r="I140">
        <v>-1.4052204375916699E-3</v>
      </c>
    </row>
    <row r="141" spans="1:9" x14ac:dyDescent="0.25">
      <c r="A141">
        <v>203.76720398664401</v>
      </c>
      <c r="B141">
        <v>18.768921782854001</v>
      </c>
      <c r="C141">
        <v>1.33629068091067</v>
      </c>
      <c r="D141">
        <v>0.83926844449012805</v>
      </c>
      <c r="E141">
        <v>-0.51841845747656501</v>
      </c>
      <c r="F141">
        <v>3.1741374849085699E-3</v>
      </c>
      <c r="G141">
        <v>5.2909153600429601E-3</v>
      </c>
      <c r="H141">
        <v>0.40555885489482801</v>
      </c>
      <c r="I141">
        <v>-1.12594314292878E-3</v>
      </c>
    </row>
    <row r="142" spans="1:9" x14ac:dyDescent="0.25">
      <c r="A142">
        <v>223.09376105666101</v>
      </c>
      <c r="B142">
        <v>18.961743121859602</v>
      </c>
      <c r="C142">
        <v>1.1891554114413301</v>
      </c>
      <c r="D142">
        <v>0.74719237777165504</v>
      </c>
      <c r="E142">
        <v>-0.46857624924303498</v>
      </c>
      <c r="F142">
        <v>2.63975234816359E-3</v>
      </c>
      <c r="G142">
        <v>4.2846506705535798E-3</v>
      </c>
      <c r="H142">
        <v>0.397846554489728</v>
      </c>
      <c r="I142">
        <v>-8.81149728310027E-4</v>
      </c>
    </row>
    <row r="143" spans="1:9" x14ac:dyDescent="0.25">
      <c r="A143">
        <v>244.15970131754801</v>
      </c>
      <c r="B143">
        <v>19.151033805343399</v>
      </c>
      <c r="C143">
        <v>1.04406597065462</v>
      </c>
      <c r="D143">
        <v>0.65713169019516204</v>
      </c>
      <c r="E143">
        <v>-0.41328596742856499</v>
      </c>
      <c r="F143">
        <v>2.5735374342774498E-3</v>
      </c>
      <c r="G143">
        <v>3.389087797616E-3</v>
      </c>
      <c r="H143">
        <v>0.38933498165389702</v>
      </c>
      <c r="I143">
        <v>-6.6641021161510303E-4</v>
      </c>
    </row>
    <row r="144" spans="1:9" x14ac:dyDescent="0.25">
      <c r="A144">
        <v>267.12157949805197</v>
      </c>
      <c r="B144">
        <v>19.332921056435499</v>
      </c>
      <c r="C144">
        <v>0.90018682832351204</v>
      </c>
      <c r="D144">
        <v>0.56620307568618899</v>
      </c>
      <c r="E144">
        <v>-0.35240344408250301</v>
      </c>
      <c r="F144">
        <v>2.66984324345498E-3</v>
      </c>
      <c r="G144">
        <v>2.6138482502417E-3</v>
      </c>
      <c r="H144">
        <v>0.38145607828610101</v>
      </c>
      <c r="I144">
        <v>-4.8797893582200802E-4</v>
      </c>
    </row>
    <row r="145" spans="1:9" x14ac:dyDescent="0.25">
      <c r="A145">
        <v>292.15002954006098</v>
      </c>
      <c r="B145">
        <v>19.502571491417498</v>
      </c>
      <c r="C145">
        <v>0.75817343861217501</v>
      </c>
      <c r="D145">
        <v>0.47305123761497703</v>
      </c>
      <c r="E145">
        <v>-0.28488848942408501</v>
      </c>
      <c r="F145">
        <v>3.5570653172427402E-3</v>
      </c>
      <c r="G145">
        <v>1.9659517865189698E-3</v>
      </c>
      <c r="H145">
        <v>0.37592496806255998</v>
      </c>
      <c r="I145">
        <v>-3.4488737328034998E-4</v>
      </c>
    </row>
    <row r="146" spans="1:9" x14ac:dyDescent="0.25">
      <c r="A146">
        <v>319.43101242184599</v>
      </c>
      <c r="B146">
        <v>19.6529625178175</v>
      </c>
      <c r="C146">
        <v>0.62336550378176903</v>
      </c>
      <c r="D146">
        <v>0.38057797174531099</v>
      </c>
      <c r="E146">
        <v>-0.21046561364721</v>
      </c>
      <c r="F146">
        <v>3.7720144873678398E-3</v>
      </c>
      <c r="G146">
        <v>1.45175457897092E-3</v>
      </c>
      <c r="H146">
        <v>0.37450553081603</v>
      </c>
      <c r="I146">
        <v>-2.4079707166992399E-4</v>
      </c>
    </row>
    <row r="147" spans="1:9" x14ac:dyDescent="0.25">
      <c r="A147">
        <v>349.16732590645501</v>
      </c>
      <c r="B147">
        <v>19.771611304846601</v>
      </c>
      <c r="C147">
        <v>0.51078617801749704</v>
      </c>
      <c r="D147">
        <v>0.30104750226927501</v>
      </c>
      <c r="E147">
        <v>-0.128026642128412</v>
      </c>
      <c r="F147">
        <v>1.6876857236307601E-3</v>
      </c>
      <c r="G147">
        <v>1.0890051155958899E-3</v>
      </c>
      <c r="H147">
        <v>0.37524201920667899</v>
      </c>
      <c r="I147">
        <v>-1.75439400270121E-4</v>
      </c>
    </row>
    <row r="148" spans="1:9" x14ac:dyDescent="0.25">
      <c r="A148">
        <v>379.83785875141598</v>
      </c>
      <c r="B148">
        <v>19.834520799000799</v>
      </c>
      <c r="C148">
        <v>0.44736126721431901</v>
      </c>
      <c r="D148">
        <v>0.25639566032237798</v>
      </c>
      <c r="E148">
        <v>-4.2369937641410699E-2</v>
      </c>
      <c r="F148">
        <v>5.7740136743638401E-4</v>
      </c>
      <c r="G148">
        <v>9.0206745730100305E-4</v>
      </c>
      <c r="H148">
        <v>0.39131208458792399</v>
      </c>
      <c r="I148" s="1">
        <v>-1.4064481591650801E-4</v>
      </c>
    </row>
    <row r="149" spans="1:9" x14ac:dyDescent="0.25">
      <c r="A149" t="s">
        <v>480</v>
      </c>
      <c r="B149" t="s">
        <v>473</v>
      </c>
      <c r="C149" t="s">
        <v>474</v>
      </c>
      <c r="D149" t="s">
        <v>475</v>
      </c>
      <c r="E149" t="s">
        <v>476</v>
      </c>
      <c r="F149" t="s">
        <v>477</v>
      </c>
      <c r="G149" t="s">
        <v>390</v>
      </c>
      <c r="H149" t="s">
        <v>478</v>
      </c>
      <c r="I149" t="s">
        <v>471</v>
      </c>
    </row>
    <row r="150" spans="1:9" x14ac:dyDescent="0.25">
      <c r="A150">
        <v>-141.555516719818</v>
      </c>
      <c r="B150">
        <v>-141.76986009111201</v>
      </c>
      <c r="C150">
        <v>1.3414192212835E-2</v>
      </c>
      <c r="D150">
        <v>0</v>
      </c>
      <c r="E150">
        <v>0</v>
      </c>
      <c r="F150">
        <v>0</v>
      </c>
      <c r="G150" s="1">
        <v>9.7609632776496305E-7</v>
      </c>
      <c r="H150">
        <v>6.3337119470832301E-2</v>
      </c>
      <c r="I150">
        <v>0</v>
      </c>
    </row>
    <row r="151" spans="1:9" x14ac:dyDescent="0.25">
      <c r="A151">
        <v>-128.95890593528699</v>
      </c>
      <c r="B151">
        <v>-129.17004734506401</v>
      </c>
      <c r="C151">
        <v>1.37625042309963E-2</v>
      </c>
      <c r="D151">
        <v>0</v>
      </c>
      <c r="E151">
        <v>0</v>
      </c>
      <c r="F151">
        <v>0</v>
      </c>
      <c r="G151" s="1">
        <v>1.51589349028924E-6</v>
      </c>
      <c r="H151">
        <v>0.35369942763474999</v>
      </c>
      <c r="I151">
        <v>0</v>
      </c>
    </row>
    <row r="152" spans="1:9" x14ac:dyDescent="0.25">
      <c r="A152">
        <v>-117.402367591857</v>
      </c>
      <c r="B152">
        <v>-117.60785848131</v>
      </c>
      <c r="C152">
        <v>1.4521297701008899E-2</v>
      </c>
      <c r="D152">
        <v>0</v>
      </c>
      <c r="E152">
        <v>0</v>
      </c>
      <c r="F152">
        <v>0</v>
      </c>
      <c r="G152" s="1">
        <v>2.5562063874495701E-6</v>
      </c>
      <c r="H152">
        <v>0.56130358680672598</v>
      </c>
      <c r="I152">
        <v>0</v>
      </c>
    </row>
    <row r="153" spans="1:9" x14ac:dyDescent="0.25">
      <c r="A153">
        <v>-106.80001378059301</v>
      </c>
      <c r="B153">
        <v>-106.998076590203</v>
      </c>
      <c r="C153">
        <v>1.58295231585725E-2</v>
      </c>
      <c r="D153">
        <v>0</v>
      </c>
      <c r="E153">
        <v>0</v>
      </c>
      <c r="F153">
        <v>0</v>
      </c>
      <c r="G153" s="1">
        <v>4.1409315807427998E-6</v>
      </c>
      <c r="H153">
        <v>0.66973393967363803</v>
      </c>
      <c r="I153">
        <v>0</v>
      </c>
    </row>
    <row r="154" spans="1:9" x14ac:dyDescent="0.25">
      <c r="A154">
        <v>-97.073161005973802</v>
      </c>
      <c r="B154">
        <v>-97.262400763534302</v>
      </c>
      <c r="C154">
        <v>1.7858588333119398E-2</v>
      </c>
      <c r="D154">
        <v>0</v>
      </c>
      <c r="E154">
        <v>0</v>
      </c>
      <c r="F154">
        <v>0</v>
      </c>
      <c r="G154" s="1">
        <v>6.4122877252437098E-6</v>
      </c>
      <c r="H154">
        <v>0.72551776420648295</v>
      </c>
      <c r="I154">
        <v>0</v>
      </c>
    </row>
    <row r="155" spans="1:9" x14ac:dyDescent="0.25">
      <c r="A155">
        <v>-88.149435520172105</v>
      </c>
      <c r="B155">
        <v>-88.328975217841901</v>
      </c>
      <c r="C155">
        <v>2.0798164430857399E-2</v>
      </c>
      <c r="D155">
        <v>0</v>
      </c>
      <c r="E155">
        <v>0</v>
      </c>
      <c r="F155">
        <v>0</v>
      </c>
      <c r="G155" s="1">
        <v>9.6215464591153898E-6</v>
      </c>
      <c r="H155">
        <v>0.755252843525689</v>
      </c>
      <c r="I155">
        <v>0</v>
      </c>
    </row>
    <row r="156" spans="1:9" x14ac:dyDescent="0.25">
      <c r="A156">
        <v>-79.962490797042804</v>
      </c>
      <c r="B156">
        <v>-80.131806584500097</v>
      </c>
      <c r="C156">
        <v>2.4856252652227701E-2</v>
      </c>
      <c r="D156">
        <v>0</v>
      </c>
      <c r="E156">
        <v>0</v>
      </c>
      <c r="F156">
        <v>0</v>
      </c>
      <c r="G156" s="1">
        <v>1.41461569134193E-5</v>
      </c>
      <c r="H156">
        <v>0.77192921248973501</v>
      </c>
      <c r="I156">
        <v>0</v>
      </c>
    </row>
    <row r="157" spans="1:9" x14ac:dyDescent="0.25">
      <c r="A157">
        <v>-72.451583743095298</v>
      </c>
      <c r="B157">
        <v>-72.610328348778495</v>
      </c>
      <c r="C157">
        <v>3.0264680751201901E-2</v>
      </c>
      <c r="D157">
        <v>0</v>
      </c>
      <c r="E157">
        <v>0</v>
      </c>
      <c r="F157">
        <v>0</v>
      </c>
      <c r="G157" s="1">
        <v>2.0517009335918601E-5</v>
      </c>
      <c r="H157">
        <v>0.78198892490455896</v>
      </c>
      <c r="I157">
        <v>0</v>
      </c>
    </row>
    <row r="158" spans="1:9" x14ac:dyDescent="0.25">
      <c r="A158">
        <v>-65.560821294784503</v>
      </c>
      <c r="B158">
        <v>-65.708918201230802</v>
      </c>
      <c r="C158">
        <v>3.7285642810047599E-2</v>
      </c>
      <c r="D158">
        <v>0</v>
      </c>
      <c r="E158">
        <v>0</v>
      </c>
      <c r="F158">
        <v>0</v>
      </c>
      <c r="G158" s="1">
        <v>2.94597873100599E-5</v>
      </c>
      <c r="H158">
        <v>0.788700173500678</v>
      </c>
      <c r="I158">
        <v>0</v>
      </c>
    </row>
    <row r="159" spans="1:9" x14ac:dyDescent="0.25">
      <c r="A159">
        <v>-59.238972067832897</v>
      </c>
      <c r="B159">
        <v>-59.3765389942157</v>
      </c>
      <c r="C159">
        <v>4.6217651443214401E-2</v>
      </c>
      <c r="D159">
        <v>0</v>
      </c>
      <c r="E159">
        <v>0</v>
      </c>
      <c r="F159">
        <v>0</v>
      </c>
      <c r="G159" s="1">
        <v>4.1954808493116502E-5</v>
      </c>
      <c r="H159">
        <v>0.79373602693226497</v>
      </c>
      <c r="I159">
        <v>0</v>
      </c>
    </row>
    <row r="160" spans="1:9" x14ac:dyDescent="0.25">
      <c r="A160">
        <v>-53.439136743545497</v>
      </c>
      <c r="B160">
        <v>-53.566326724790301</v>
      </c>
      <c r="C160">
        <v>5.7400615296643302E-2</v>
      </c>
      <c r="D160">
        <v>0</v>
      </c>
      <c r="E160">
        <v>0</v>
      </c>
      <c r="F160">
        <v>0</v>
      </c>
      <c r="G160" s="1">
        <v>5.9321681026958097E-5</v>
      </c>
      <c r="H160">
        <v>0.79795712221113102</v>
      </c>
      <c r="I160">
        <v>0</v>
      </c>
    </row>
    <row r="161" spans="1:9" x14ac:dyDescent="0.25">
      <c r="A161">
        <v>-48.118183016777003</v>
      </c>
      <c r="B161">
        <v>-48.2352844648588</v>
      </c>
      <c r="C161">
        <v>7.1220388841908205E-2</v>
      </c>
      <c r="D161">
        <v>0</v>
      </c>
      <c r="E161">
        <v>0</v>
      </c>
      <c r="F161">
        <v>0</v>
      </c>
      <c r="G161" s="1">
        <v>8.3338794553355897E-5</v>
      </c>
      <c r="H161">
        <v>0.80181592809104096</v>
      </c>
      <c r="I161">
        <v>0</v>
      </c>
    </row>
    <row r="162" spans="1:9" x14ac:dyDescent="0.25">
      <c r="A162">
        <v>-43.236604332923797</v>
      </c>
      <c r="B162">
        <v>-43.343932146631502</v>
      </c>
      <c r="C162">
        <v>8.8113610412676693E-2</v>
      </c>
      <c r="D162">
        <v>0</v>
      </c>
      <c r="E162">
        <v>0</v>
      </c>
      <c r="F162">
        <v>0</v>
      </c>
      <c r="G162" s="1">
        <v>1.16413378112412E-4</v>
      </c>
      <c r="H162">
        <v>0.80556838757641003</v>
      </c>
      <c r="I162">
        <v>0</v>
      </c>
    </row>
    <row r="163" spans="1:9" x14ac:dyDescent="0.25">
      <c r="A163">
        <v>-38.758049011230398</v>
      </c>
      <c r="B163">
        <v>-38.856041694484901</v>
      </c>
      <c r="C163">
        <v>0.10857359121700901</v>
      </c>
      <c r="D163">
        <v>0</v>
      </c>
      <c r="E163">
        <v>0</v>
      </c>
      <c r="F163">
        <v>0</v>
      </c>
      <c r="G163">
        <v>1.6182626706751001E-4</v>
      </c>
      <c r="H163">
        <v>0.80938400177449699</v>
      </c>
      <c r="I163">
        <v>0</v>
      </c>
    </row>
    <row r="164" spans="1:9" x14ac:dyDescent="0.25">
      <c r="A164">
        <v>-34.649320244789102</v>
      </c>
      <c r="B164">
        <v>-34.738366270862798</v>
      </c>
      <c r="C164">
        <v>0.133158488115725</v>
      </c>
      <c r="D164">
        <v>0</v>
      </c>
      <c r="E164">
        <v>0</v>
      </c>
      <c r="F164">
        <v>0</v>
      </c>
      <c r="G164">
        <v>2.2408748846203201E-4</v>
      </c>
      <c r="H164">
        <v>0.81340104521905698</v>
      </c>
      <c r="I164">
        <v>0</v>
      </c>
    </row>
    <row r="165" spans="1:9" x14ac:dyDescent="0.25">
      <c r="A165">
        <v>-30.879811048507602</v>
      </c>
      <c r="B165">
        <v>-30.960388651542701</v>
      </c>
      <c r="C165">
        <v>0.162502593852309</v>
      </c>
      <c r="D165">
        <v>0</v>
      </c>
      <c r="E165">
        <v>0</v>
      </c>
      <c r="F165">
        <v>0</v>
      </c>
      <c r="G165">
        <v>3.0945488197176002E-4</v>
      </c>
      <c r="H165">
        <v>0.81775093805426002</v>
      </c>
      <c r="I165">
        <v>0</v>
      </c>
    </row>
    <row r="166" spans="1:9" x14ac:dyDescent="0.25">
      <c r="A166">
        <v>-27.4215984344482</v>
      </c>
      <c r="B166">
        <v>-27.494107859634099</v>
      </c>
      <c r="C166">
        <v>0.197332216987433</v>
      </c>
      <c r="D166">
        <v>0</v>
      </c>
      <c r="E166">
        <v>0</v>
      </c>
      <c r="F166">
        <v>0</v>
      </c>
      <c r="G166">
        <v>4.2668914639421002E-4</v>
      </c>
      <c r="H166">
        <v>0.82256344653638502</v>
      </c>
      <c r="I166">
        <v>0</v>
      </c>
    </row>
    <row r="167" spans="1:9" x14ac:dyDescent="0.25">
      <c r="A167">
        <v>-24.248878359794599</v>
      </c>
      <c r="B167">
        <v>-24.313825799577199</v>
      </c>
      <c r="C167">
        <v>0.238487047306534</v>
      </c>
      <c r="D167">
        <v>0</v>
      </c>
      <c r="E167">
        <v>0</v>
      </c>
      <c r="F167">
        <v>0</v>
      </c>
      <c r="G167">
        <v>5.8814586991218199E-4</v>
      </c>
      <c r="H167">
        <v>0.82795884710411005</v>
      </c>
      <c r="I167">
        <v>0</v>
      </c>
    </row>
    <row r="168" spans="1:9" x14ac:dyDescent="0.25">
      <c r="A168">
        <v>-21.3381540775299</v>
      </c>
      <c r="B168">
        <v>-21.3959589064646</v>
      </c>
      <c r="C168">
        <v>0.28694827940114398</v>
      </c>
      <c r="D168">
        <v>0</v>
      </c>
      <c r="E168">
        <v>0</v>
      </c>
      <c r="F168">
        <v>0</v>
      </c>
      <c r="G168">
        <v>8.1133729941029699E-4</v>
      </c>
      <c r="H168">
        <v>0.83403187757200103</v>
      </c>
      <c r="I168">
        <v>0</v>
      </c>
    </row>
    <row r="169" spans="1:9" x14ac:dyDescent="0.25">
      <c r="A169">
        <v>-18.6677181720733</v>
      </c>
      <c r="B169">
        <v>-18.718869660474599</v>
      </c>
      <c r="C169">
        <v>0.34387404430162799</v>
      </c>
      <c r="D169">
        <v>0</v>
      </c>
      <c r="E169">
        <v>0</v>
      </c>
      <c r="F169">
        <v>0</v>
      </c>
      <c r="G169">
        <v>1.1211399996966501E-3</v>
      </c>
      <c r="H169">
        <v>0.840833425119491</v>
      </c>
      <c r="I169">
        <v>0</v>
      </c>
    </row>
    <row r="170" spans="1:9" x14ac:dyDescent="0.25">
      <c r="A170">
        <v>-16.2178409099578</v>
      </c>
      <c r="B170">
        <v>-16.2626995727944</v>
      </c>
      <c r="C170">
        <v>0.41064249505211498</v>
      </c>
      <c r="D170">
        <v>0</v>
      </c>
      <c r="E170">
        <v>0</v>
      </c>
      <c r="F170">
        <v>0</v>
      </c>
      <c r="G170">
        <v>1.5528838124510001E-3</v>
      </c>
      <c r="H170">
        <v>0.84835635795787401</v>
      </c>
      <c r="I170">
        <v>0</v>
      </c>
    </row>
    <row r="171" spans="1:9" x14ac:dyDescent="0.25">
      <c r="A171">
        <v>-13.9702051877975</v>
      </c>
      <c r="B171">
        <v>-14.0092264511216</v>
      </c>
      <c r="C171">
        <v>0.48890289211840299</v>
      </c>
      <c r="D171">
        <v>0</v>
      </c>
      <c r="E171">
        <v>0</v>
      </c>
      <c r="F171">
        <v>0</v>
      </c>
      <c r="G171">
        <v>2.1566407767750202E-3</v>
      </c>
      <c r="H171">
        <v>0.85653104654864798</v>
      </c>
      <c r="I171">
        <v>0</v>
      </c>
    </row>
    <row r="172" spans="1:9" x14ac:dyDescent="0.25">
      <c r="A172">
        <v>-11.908189058303799</v>
      </c>
      <c r="B172">
        <v>-11.9417323334667</v>
      </c>
      <c r="C172">
        <v>0.58063358887352401</v>
      </c>
      <c r="D172">
        <v>0</v>
      </c>
      <c r="E172">
        <v>0</v>
      </c>
      <c r="F172">
        <v>0</v>
      </c>
      <c r="G172">
        <v>3.0031611146341601E-3</v>
      </c>
      <c r="H172">
        <v>0.86523280747262798</v>
      </c>
      <c r="I172">
        <v>0</v>
      </c>
    </row>
    <row r="173" spans="1:9" x14ac:dyDescent="0.25">
      <c r="A173">
        <v>-10.016394853591899</v>
      </c>
      <c r="B173">
        <v>-10.0448739970627</v>
      </c>
      <c r="C173">
        <v>0.68820757346657002</v>
      </c>
      <c r="D173">
        <v>0</v>
      </c>
      <c r="E173">
        <v>0</v>
      </c>
      <c r="F173">
        <v>0</v>
      </c>
      <c r="G173">
        <v>4.1920958669834302E-3</v>
      </c>
      <c r="H173">
        <v>0.87429922916399205</v>
      </c>
      <c r="I173">
        <v>0</v>
      </c>
    </row>
    <row r="174" spans="1:9" x14ac:dyDescent="0.25">
      <c r="A174">
        <v>-8.2808375358581507</v>
      </c>
      <c r="B174">
        <v>-8.30457397616129</v>
      </c>
      <c r="C174">
        <v>0.81446473338928604</v>
      </c>
      <c r="D174">
        <v>0</v>
      </c>
      <c r="E174">
        <v>0</v>
      </c>
      <c r="F174">
        <v>0</v>
      </c>
      <c r="G174">
        <v>5.8634266720218797E-3</v>
      </c>
      <c r="H174">
        <v>0.88355193960240797</v>
      </c>
      <c r="I174">
        <v>0</v>
      </c>
    </row>
    <row r="175" spans="1:9" x14ac:dyDescent="0.25">
      <c r="A175">
        <v>-6.6885209083557102</v>
      </c>
      <c r="B175">
        <v>-6.70791585634589</v>
      </c>
      <c r="C175">
        <v>0.96279263427731998</v>
      </c>
      <c r="D175">
        <v>0</v>
      </c>
      <c r="E175">
        <v>0</v>
      </c>
      <c r="F175">
        <v>0</v>
      </c>
      <c r="G175">
        <v>8.2134386452707899E-3</v>
      </c>
      <c r="H175">
        <v>0.89281709668702303</v>
      </c>
      <c r="I175">
        <v>0</v>
      </c>
    </row>
    <row r="176" spans="1:9" x14ac:dyDescent="0.25">
      <c r="A176">
        <v>-5.2277201414108196</v>
      </c>
      <c r="B176">
        <v>-5.2430474781024801</v>
      </c>
      <c r="C176">
        <v>1.13721645151372</v>
      </c>
      <c r="D176">
        <v>0</v>
      </c>
      <c r="E176">
        <v>0</v>
      </c>
      <c r="F176">
        <v>0</v>
      </c>
      <c r="G176">
        <v>1.15171351462777E-2</v>
      </c>
      <c r="H176">
        <v>0.90194003211004703</v>
      </c>
      <c r="I176">
        <v>0</v>
      </c>
    </row>
    <row r="177" spans="1:9" x14ac:dyDescent="0.25">
      <c r="A177">
        <v>-3.88755798339843</v>
      </c>
      <c r="B177">
        <v>-3.8990940269607601</v>
      </c>
      <c r="C177">
        <v>1.3425019569922301</v>
      </c>
      <c r="D177">
        <v>0</v>
      </c>
      <c r="E177">
        <v>0</v>
      </c>
      <c r="F177">
        <v>0</v>
      </c>
      <c r="G177">
        <v>1.6159776712811401E-2</v>
      </c>
      <c r="H177">
        <v>0.91079286891717404</v>
      </c>
      <c r="I177">
        <v>0</v>
      </c>
    </row>
    <row r="178" spans="1:9" x14ac:dyDescent="0.25">
      <c r="A178">
        <v>-2.6580518484115601</v>
      </c>
      <c r="B178">
        <v>-2.66607802124354</v>
      </c>
      <c r="C178">
        <v>1.5842744345945901</v>
      </c>
      <c r="D178">
        <v>0</v>
      </c>
      <c r="E178">
        <v>0</v>
      </c>
      <c r="F178">
        <v>0</v>
      </c>
      <c r="G178">
        <v>2.26808975339736E-2</v>
      </c>
      <c r="H178">
        <v>0.91927476227042304</v>
      </c>
      <c r="I178">
        <v>0</v>
      </c>
    </row>
    <row r="179" spans="1:9" x14ac:dyDescent="0.25">
      <c r="A179">
        <v>-1.5300196409225399</v>
      </c>
      <c r="B179">
        <v>-1.5348438522372001</v>
      </c>
      <c r="C179">
        <v>1.8691600164856901</v>
      </c>
      <c r="D179">
        <v>0</v>
      </c>
      <c r="E179">
        <v>0</v>
      </c>
      <c r="F179">
        <v>0</v>
      </c>
      <c r="G179">
        <v>3.1834404917390202E-2</v>
      </c>
      <c r="H179">
        <v>0.92730680051054004</v>
      </c>
      <c r="I179">
        <v>0</v>
      </c>
    </row>
    <row r="180" spans="1:9" x14ac:dyDescent="0.25">
      <c r="A180">
        <v>-0.49517393112182601</v>
      </c>
      <c r="B180">
        <v>-0.49699225691739402</v>
      </c>
      <c r="C180">
        <v>2.2049495111787101</v>
      </c>
      <c r="D180">
        <v>0</v>
      </c>
      <c r="E180">
        <v>0</v>
      </c>
      <c r="F180">
        <v>0</v>
      </c>
      <c r="G180">
        <v>4.5432908322254599E-2</v>
      </c>
      <c r="H180">
        <v>0.93592324890537304</v>
      </c>
      <c r="I180">
        <v>0</v>
      </c>
    </row>
    <row r="181" spans="1:9" x14ac:dyDescent="0.25">
      <c r="A181">
        <v>0.49376130104064903</v>
      </c>
      <c r="B181">
        <v>0.49478442179378102</v>
      </c>
      <c r="C181">
        <v>2.6210114939658502</v>
      </c>
      <c r="D181">
        <v>0.22664214767885399</v>
      </c>
      <c r="E181">
        <v>-3.5515146992254998E-4</v>
      </c>
      <c r="F181" s="1">
        <v>1.09211383052883E-4</v>
      </c>
      <c r="G181">
        <v>6.5595387219408802E-2</v>
      </c>
      <c r="H181">
        <v>0.94382680329234903</v>
      </c>
      <c r="I181" s="1">
        <v>6.1371369718981E-7</v>
      </c>
    </row>
    <row r="182" spans="1:9" x14ac:dyDescent="0.25">
      <c r="A182">
        <v>1.5257111191749499</v>
      </c>
      <c r="B182">
        <v>1.5277826763164599</v>
      </c>
      <c r="C182">
        <v>3.1950150837928901</v>
      </c>
      <c r="D182">
        <v>0.85135839308250005</v>
      </c>
      <c r="E182">
        <v>-3.7536391971802999E-3</v>
      </c>
      <c r="F182">
        <v>4.5383455217943203E-4</v>
      </c>
      <c r="G182">
        <v>8.9738910069297503E-2</v>
      </c>
      <c r="H182">
        <v>0.94648328111119195</v>
      </c>
      <c r="I182" s="1">
        <v>2.7362592521270401E-5</v>
      </c>
    </row>
    <row r="183" spans="1:9" x14ac:dyDescent="0.25">
      <c r="A183">
        <v>2.6505178213119498</v>
      </c>
      <c r="B183">
        <v>2.6438450511020002</v>
      </c>
      <c r="C183">
        <v>4.01981169902683</v>
      </c>
      <c r="D183">
        <v>1.77808504986839</v>
      </c>
      <c r="E183">
        <v>-1.6470385602665401E-2</v>
      </c>
      <c r="F183">
        <v>9.8428822520385604E-4</v>
      </c>
      <c r="G183">
        <v>0.11186851782887999</v>
      </c>
      <c r="H183">
        <v>0.94197819288073303</v>
      </c>
      <c r="I183">
        <v>1.6014233248656299E-4</v>
      </c>
    </row>
    <row r="184" spans="1:9" x14ac:dyDescent="0.25">
      <c r="A184">
        <v>3.8765159249305698</v>
      </c>
      <c r="B184">
        <v>3.8333480037223899</v>
      </c>
      <c r="C184">
        <v>5.1464978160765797</v>
      </c>
      <c r="D184">
        <v>3.0468023425216799</v>
      </c>
      <c r="E184">
        <v>-4.5207730639974998E-2</v>
      </c>
      <c r="F184">
        <v>1.6555366057521999E-3</v>
      </c>
      <c r="G184">
        <v>0.127196992758392</v>
      </c>
      <c r="H184">
        <v>0.92992241319626801</v>
      </c>
      <c r="I184">
        <v>4.15363239126459E-4</v>
      </c>
    </row>
    <row r="185" spans="1:9" x14ac:dyDescent="0.25">
      <c r="A185">
        <v>5.2129346132278398</v>
      </c>
      <c r="B185">
        <v>5.0736048422228901</v>
      </c>
      <c r="C185">
        <v>6.5405839732193201</v>
      </c>
      <c r="D185">
        <v>4.6014424545838404</v>
      </c>
      <c r="E185">
        <v>-9.63278007015336E-2</v>
      </c>
      <c r="F185" s="1">
        <v>2.33358081688353E-3</v>
      </c>
      <c r="G185">
        <v>0.13290394094997801</v>
      </c>
      <c r="H185">
        <v>0.90915994907500697</v>
      </c>
      <c r="I185">
        <v>9.0600446487339799E-4</v>
      </c>
    </row>
    <row r="186" spans="1:9" x14ac:dyDescent="0.25">
      <c r="A186">
        <v>6.6695916652679399</v>
      </c>
      <c r="B186">
        <v>6.3279541372727897</v>
      </c>
      <c r="C186">
        <v>8.0417230083185096</v>
      </c>
      <c r="D186">
        <v>6.2553377746747403</v>
      </c>
      <c r="E186">
        <v>-0.17157042522969801</v>
      </c>
      <c r="F186">
        <v>2.8343363728110102E-3</v>
      </c>
      <c r="G186">
        <v>0.13201708410031199</v>
      </c>
      <c r="H186">
        <v>0.88096410088072197</v>
      </c>
      <c r="I186">
        <v>2.3349167099043899E-3</v>
      </c>
    </row>
    <row r="187" spans="1:9" x14ac:dyDescent="0.25">
      <c r="A187">
        <v>8.2573878765106201</v>
      </c>
      <c r="B187">
        <v>7.5511431671154101</v>
      </c>
      <c r="C187">
        <v>9.4023164368081709</v>
      </c>
      <c r="D187">
        <v>7.7399497983323</v>
      </c>
      <c r="E187">
        <v>-0.26561195903794799</v>
      </c>
      <c r="F187">
        <v>3.03183112989627E-3</v>
      </c>
      <c r="G187">
        <v>0.13046029253712199</v>
      </c>
      <c r="H187">
        <v>0.85072795290919501</v>
      </c>
      <c r="I187">
        <v>6.0651461363698004E-3</v>
      </c>
    </row>
    <row r="188" spans="1:9" x14ac:dyDescent="0.25">
      <c r="A188">
        <v>9.9880245327949506</v>
      </c>
      <c r="B188">
        <v>8.7001220300268702</v>
      </c>
      <c r="C188">
        <v>10.3988218927042</v>
      </c>
      <c r="D188">
        <v>8.8234258849881293</v>
      </c>
      <c r="E188">
        <v>-0.36767329484260503</v>
      </c>
      <c r="F188">
        <v>2.9366256146188298E-3</v>
      </c>
      <c r="G188">
        <v>0.131592005755682</v>
      </c>
      <c r="H188">
        <v>0.82406768779907902</v>
      </c>
      <c r="I188">
        <v>1.1464538588235E-2</v>
      </c>
    </row>
    <row r="189" spans="1:9" x14ac:dyDescent="0.25">
      <c r="A189">
        <v>11.874474287032999</v>
      </c>
      <c r="B189">
        <v>9.74468251461502</v>
      </c>
      <c r="C189">
        <v>10.926150448176401</v>
      </c>
      <c r="D189">
        <v>9.4045638253217696</v>
      </c>
      <c r="E189">
        <v>-0.466441369100076</v>
      </c>
      <c r="F189">
        <v>2.6839998743123199E-3</v>
      </c>
      <c r="G189">
        <v>0.13427602995587201</v>
      </c>
      <c r="H189">
        <v>0.80167874768349501</v>
      </c>
      <c r="I189">
        <v>1.4169490255693499E-2</v>
      </c>
    </row>
    <row r="190" spans="1:9" x14ac:dyDescent="0.25">
      <c r="A190">
        <v>13.9306750893592</v>
      </c>
      <c r="B190">
        <v>10.671826952643301</v>
      </c>
      <c r="C190">
        <v>11.006141115103601</v>
      </c>
      <c r="D190">
        <v>9.5156156241066707</v>
      </c>
      <c r="E190">
        <v>-0.55421208591535398</v>
      </c>
      <c r="F190">
        <v>2.4450304760178102E-3</v>
      </c>
      <c r="G190">
        <v>0.135362598273183</v>
      </c>
      <c r="H190">
        <v>0.78102184139969699</v>
      </c>
      <c r="I190">
        <v>1.1376733250393199E-2</v>
      </c>
    </row>
    <row r="191" spans="1:9" x14ac:dyDescent="0.25">
      <c r="A191">
        <v>16.171883344650201</v>
      </c>
      <c r="B191">
        <v>11.483044491655701</v>
      </c>
      <c r="C191">
        <v>10.7339773607236</v>
      </c>
      <c r="D191">
        <v>9.2628372095806508</v>
      </c>
      <c r="E191">
        <v>-0.62775947138518995</v>
      </c>
      <c r="F191" s="1">
        <v>2.3007151142909799E-3</v>
      </c>
      <c r="G191">
        <v>0.132781402150768</v>
      </c>
      <c r="H191">
        <v>0.75996560358726495</v>
      </c>
      <c r="I191">
        <v>4.7836029709810097E-3</v>
      </c>
    </row>
    <row r="192" spans="1:9" x14ac:dyDescent="0.25">
      <c r="A192">
        <v>18.614838719367899</v>
      </c>
      <c r="B192">
        <v>12.188416307367</v>
      </c>
      <c r="C192">
        <v>10.221530552189501</v>
      </c>
      <c r="D192">
        <v>8.7668262955802696</v>
      </c>
      <c r="E192">
        <v>-0.68703343623391</v>
      </c>
      <c r="F192">
        <v>2.1897038957098499E-3</v>
      </c>
      <c r="G192">
        <v>0.12648888273073899</v>
      </c>
      <c r="H192">
        <v>0.73770526881931497</v>
      </c>
      <c r="I192">
        <v>-2.4531299898609702E-3</v>
      </c>
    </row>
    <row r="193" spans="1:9" x14ac:dyDescent="0.25">
      <c r="A193">
        <v>21.2777170538902</v>
      </c>
      <c r="B193">
        <v>12.8014315455627</v>
      </c>
      <c r="C193">
        <v>9.5660684413814998</v>
      </c>
      <c r="D193">
        <v>8.1300593852696199</v>
      </c>
      <c r="E193">
        <v>-0.73352941353860301</v>
      </c>
      <c r="F193">
        <v>2.0336258680819E-3</v>
      </c>
      <c r="G193">
        <v>0.117650473549091</v>
      </c>
      <c r="H193">
        <v>0.71427879982352105</v>
      </c>
      <c r="I193">
        <v>-8.3867020140272596E-3</v>
      </c>
    </row>
    <row r="194" spans="1:9" x14ac:dyDescent="0.25">
      <c r="A194">
        <v>24.180224537849401</v>
      </c>
      <c r="B194">
        <v>13.335870706982501</v>
      </c>
      <c r="C194">
        <v>8.84130500144237</v>
      </c>
      <c r="D194">
        <v>7.4286298169213296</v>
      </c>
      <c r="E194">
        <v>-0.76919684761873897</v>
      </c>
      <c r="F194">
        <v>1.8121473404096801E-3</v>
      </c>
      <c r="G194">
        <v>0.10758097586239</v>
      </c>
      <c r="H194">
        <v>0.69011625384282305</v>
      </c>
      <c r="I194">
        <v>-1.24706474403033E-2</v>
      </c>
    </row>
    <row r="195" spans="1:9" x14ac:dyDescent="0.25">
      <c r="A195">
        <v>27.343950867652801</v>
      </c>
      <c r="B195">
        <v>13.8044253900122</v>
      </c>
      <c r="C195">
        <v>8.0991282487957506</v>
      </c>
      <c r="D195">
        <v>6.7147961407223304</v>
      </c>
      <c r="E195">
        <v>-0.79591879893364004</v>
      </c>
      <c r="F195">
        <v>1.49243146541951E-3</v>
      </c>
      <c r="G195">
        <v>9.7244879562985706E-2</v>
      </c>
      <c r="H195">
        <v>0.66580619695529497</v>
      </c>
      <c r="I195">
        <v>-1.48668621528187E-2</v>
      </c>
    </row>
    <row r="196" spans="1:9" x14ac:dyDescent="0.25">
      <c r="A196">
        <v>30.7923927903175</v>
      </c>
      <c r="B196">
        <v>14.218290688044901</v>
      </c>
      <c r="C196">
        <v>7.37428874836041</v>
      </c>
      <c r="D196">
        <v>6.02242050092869</v>
      </c>
      <c r="E196">
        <v>-0.81531482029541902</v>
      </c>
      <c r="F196">
        <v>1.0820901347088499E-3</v>
      </c>
      <c r="G196">
        <v>8.7194322447632006E-2</v>
      </c>
      <c r="H196">
        <v>0.64196407942160805</v>
      </c>
      <c r="I196">
        <v>-1.5926786161668999E-2</v>
      </c>
    </row>
    <row r="197" spans="1:9" x14ac:dyDescent="0.25">
      <c r="A197">
        <v>34.551213085651298</v>
      </c>
      <c r="B197">
        <v>14.5871004439365</v>
      </c>
      <c r="C197">
        <v>6.6887378999126597</v>
      </c>
      <c r="D197">
        <v>5.3724153925816696</v>
      </c>
      <c r="E197">
        <v>-0.82872484209215602</v>
      </c>
      <c r="F197">
        <v>7.0516732224808198E-4</v>
      </c>
      <c r="G197">
        <v>7.7674276409071805E-2</v>
      </c>
      <c r="H197">
        <v>0.61912142965071104</v>
      </c>
      <c r="I197">
        <v>-1.5988429432508E-2</v>
      </c>
    </row>
    <row r="198" spans="1:9" x14ac:dyDescent="0.25">
      <c r="A198">
        <v>38.6483111977577</v>
      </c>
      <c r="B198">
        <v>14.919028782791999</v>
      </c>
      <c r="C198">
        <v>6.05506485080695</v>
      </c>
      <c r="D198">
        <v>4.77629797616465</v>
      </c>
      <c r="E198">
        <v>-0.837179228349752</v>
      </c>
      <c r="F198">
        <v>5.2228587796467898E-4</v>
      </c>
      <c r="G198">
        <v>6.8767377603994095E-2</v>
      </c>
      <c r="H198">
        <v>0.59770131715127495</v>
      </c>
      <c r="I198">
        <v>-1.5327269187773799E-2</v>
      </c>
    </row>
    <row r="199" spans="1:9" x14ac:dyDescent="0.25">
      <c r="A199">
        <v>43.1141293048858</v>
      </c>
      <c r="B199">
        <v>15.220979934133201</v>
      </c>
      <c r="C199">
        <v>5.4792142396763603</v>
      </c>
      <c r="D199">
        <v>4.2391590025462502</v>
      </c>
      <c r="E199">
        <v>-0.84143345098495703</v>
      </c>
      <c r="F199">
        <v>5.69309534483278E-4</v>
      </c>
      <c r="G199">
        <v>6.0516954794021E-2</v>
      </c>
      <c r="H199">
        <v>0.57800519514020399</v>
      </c>
      <c r="I199">
        <v>-1.41897663126642E-2</v>
      </c>
    </row>
    <row r="200" spans="1:9" x14ac:dyDescent="0.25">
      <c r="A200">
        <v>47.981887757778097</v>
      </c>
      <c r="B200">
        <v>15.4988001264106</v>
      </c>
      <c r="C200">
        <v>4.9624064401541501</v>
      </c>
      <c r="D200">
        <v>3.7617860809629899</v>
      </c>
      <c r="E200">
        <v>-0.84200327277717102</v>
      </c>
      <c r="F200">
        <v>7.0035843821282496E-4</v>
      </c>
      <c r="G200">
        <v>5.2965568585690001E-2</v>
      </c>
      <c r="H200">
        <v>0.56030765974880303</v>
      </c>
      <c r="I200">
        <v>-1.2791419428942401E-2</v>
      </c>
    </row>
    <row r="201" spans="1:9" x14ac:dyDescent="0.25">
      <c r="A201">
        <v>53.287820518016801</v>
      </c>
      <c r="B201">
        <v>15.757351161487</v>
      </c>
      <c r="C201">
        <v>4.5032743499632399</v>
      </c>
      <c r="D201">
        <v>3.3426917756334502</v>
      </c>
      <c r="E201">
        <v>-0.839317703798802</v>
      </c>
      <c r="F201">
        <v>9.8936670809287295E-4</v>
      </c>
      <c r="G201">
        <v>4.6117835111549203E-2</v>
      </c>
      <c r="H201">
        <v>0.54445223923664898</v>
      </c>
      <c r="I201">
        <v>-1.12899111416703E-2</v>
      </c>
    </row>
    <row r="202" spans="1:9" x14ac:dyDescent="0.25">
      <c r="A202">
        <v>59.071175158023799</v>
      </c>
      <c r="B202">
        <v>16.0006104759347</v>
      </c>
      <c r="C202">
        <v>4.0983631764902304</v>
      </c>
      <c r="D202">
        <v>2.9783492766586801</v>
      </c>
      <c r="E202">
        <v>-0.83364457172780804</v>
      </c>
      <c r="F202">
        <v>1.3147630075619201E-3</v>
      </c>
      <c r="G202">
        <v>3.9998091491039597E-2</v>
      </c>
      <c r="H202">
        <v>0.53028378315610003</v>
      </c>
      <c r="I202">
        <v>-9.8160838671386298E-3</v>
      </c>
    </row>
    <row r="203" spans="1:9" x14ac:dyDescent="0.25">
      <c r="A203">
        <v>65.375131070613804</v>
      </c>
      <c r="B203">
        <v>16.231943366624002</v>
      </c>
      <c r="C203">
        <v>3.7422141600927699</v>
      </c>
      <c r="D203">
        <v>2.6631244304759698</v>
      </c>
      <c r="E203">
        <v>-0.82519849077435403</v>
      </c>
      <c r="F203">
        <v>1.40689795766915E-3</v>
      </c>
      <c r="G203">
        <v>3.4613556022832698E-2</v>
      </c>
      <c r="H203">
        <v>0.51775507545823996</v>
      </c>
      <c r="I203">
        <v>-8.4579504244295493E-3</v>
      </c>
    </row>
    <row r="204" spans="1:9" x14ac:dyDescent="0.25">
      <c r="A204">
        <v>72.246375679969702</v>
      </c>
      <c r="B204">
        <v>16.454144192434502</v>
      </c>
      <c r="C204">
        <v>3.4288375366941102</v>
      </c>
      <c r="D204">
        <v>2.39093978943965</v>
      </c>
      <c r="E204">
        <v>-0.81421262960079899</v>
      </c>
      <c r="F204">
        <v>1.01550978520495E-3</v>
      </c>
      <c r="G204">
        <v>2.99117287168774E-2</v>
      </c>
      <c r="H204">
        <v>0.50652460705980196</v>
      </c>
      <c r="I204">
        <v>-7.2521702139294901E-3</v>
      </c>
    </row>
    <row r="205" spans="1:9" x14ac:dyDescent="0.25">
      <c r="A205">
        <v>79.736069738864799</v>
      </c>
      <c r="B205">
        <v>16.6692539095353</v>
      </c>
      <c r="C205">
        <v>3.1517318367150402</v>
      </c>
      <c r="D205">
        <v>2.1556297379416498</v>
      </c>
      <c r="E205">
        <v>-0.80089362506206097</v>
      </c>
      <c r="F205">
        <v>5.7978092166064798E-4</v>
      </c>
      <c r="G205">
        <v>2.5811890028565401E-2</v>
      </c>
      <c r="H205">
        <v>0.49592064703433902</v>
      </c>
      <c r="I205">
        <v>-6.2014731985890704E-3</v>
      </c>
    </row>
    <row r="206" spans="1:9" x14ac:dyDescent="0.25">
      <c r="A206">
        <v>87.899753153324099</v>
      </c>
      <c r="B206">
        <v>16.878693976945801</v>
      </c>
      <c r="C206">
        <v>2.9042922845292098</v>
      </c>
      <c r="D206">
        <v>1.95094439425782</v>
      </c>
      <c r="E206">
        <v>-0.78525351191425097</v>
      </c>
      <c r="F206">
        <v>6.4214803733110299E-4</v>
      </c>
      <c r="G206">
        <v>2.2254840240997401E-2</v>
      </c>
      <c r="H206">
        <v>0.48574080283142801</v>
      </c>
      <c r="I206">
        <v>-5.2989027079947803E-3</v>
      </c>
    </row>
    <row r="207" spans="1:9" x14ac:dyDescent="0.25">
      <c r="A207">
        <v>96.798263192176805</v>
      </c>
      <c r="B207">
        <v>17.083821108139698</v>
      </c>
      <c r="C207">
        <v>2.6803395324350201</v>
      </c>
      <c r="D207">
        <v>1.7710872590208</v>
      </c>
      <c r="E207">
        <v>-0.76717921043714299</v>
      </c>
      <c r="F207">
        <v>1.09173237704937E-3</v>
      </c>
      <c r="G207">
        <v>1.9185338262619499E-2</v>
      </c>
      <c r="H207">
        <v>0.47615430830825201</v>
      </c>
      <c r="I207">
        <v>-4.53155334397903E-3</v>
      </c>
    </row>
    <row r="208" spans="1:9" x14ac:dyDescent="0.25">
      <c r="A208">
        <v>106.497616767883</v>
      </c>
      <c r="B208">
        <v>17.2856579884361</v>
      </c>
      <c r="C208">
        <v>2.47533180386199</v>
      </c>
      <c r="D208">
        <v>1.6118001113278499</v>
      </c>
      <c r="E208">
        <v>-0.74663223852942195</v>
      </c>
      <c r="F208">
        <v>1.5167880703640701E-3</v>
      </c>
      <c r="G208">
        <v>1.6530222428245901E-2</v>
      </c>
      <c r="H208">
        <v>0.46699644262040202</v>
      </c>
      <c r="I208">
        <v>-3.8761912253709799E-3</v>
      </c>
    </row>
    <row r="209" spans="1:9" x14ac:dyDescent="0.25">
      <c r="A209">
        <v>117.06990510225199</v>
      </c>
      <c r="B209">
        <v>17.484981564379801</v>
      </c>
      <c r="C209">
        <v>2.2857074525518302</v>
      </c>
      <c r="D209">
        <v>1.46929999872405</v>
      </c>
      <c r="E209">
        <v>-0.72340173449897704</v>
      </c>
      <c r="F209">
        <v>1.90780054230115E-3</v>
      </c>
      <c r="G209">
        <v>1.4221059656929399E-2</v>
      </c>
      <c r="H209">
        <v>0.45827490250359998</v>
      </c>
      <c r="I209">
        <v>-3.3088196208732098E-3</v>
      </c>
    </row>
    <row r="210" spans="1:9" x14ac:dyDescent="0.25">
      <c r="A210">
        <v>128.593670427799</v>
      </c>
      <c r="B210">
        <v>17.682499622500998</v>
      </c>
      <c r="C210">
        <v>2.1093206075647601</v>
      </c>
      <c r="D210">
        <v>1.34088756837765</v>
      </c>
      <c r="E210">
        <v>-0.69737037179930295</v>
      </c>
      <c r="F210">
        <v>2.6380084867781602E-3</v>
      </c>
      <c r="G210">
        <v>1.2208484641596899E-2</v>
      </c>
      <c r="H210">
        <v>0.449816594122605</v>
      </c>
      <c r="I210">
        <v>-2.8181038323182601E-3</v>
      </c>
    </row>
    <row r="211" spans="1:9" x14ac:dyDescent="0.25">
      <c r="A211">
        <v>141.15461230278001</v>
      </c>
      <c r="B211">
        <v>17.8787139407765</v>
      </c>
      <c r="C211">
        <v>1.94313651186348</v>
      </c>
      <c r="D211">
        <v>1.2238848538748399</v>
      </c>
      <c r="E211">
        <v>-0.66820740802534395</v>
      </c>
      <c r="F211">
        <v>2.8565453796847899E-3</v>
      </c>
      <c r="G211">
        <v>1.04442518068777E-2</v>
      </c>
      <c r="H211">
        <v>0.44157467815287399</v>
      </c>
      <c r="I211">
        <v>-2.3890469788342798E-3</v>
      </c>
    </row>
    <row r="212" spans="1:9" x14ac:dyDescent="0.25">
      <c r="A212">
        <v>154.84601140022201</v>
      </c>
      <c r="B212">
        <v>18.0738216988217</v>
      </c>
      <c r="C212">
        <v>1.7838590214068899</v>
      </c>
      <c r="D212">
        <v>1.1154021904500599</v>
      </c>
      <c r="E212">
        <v>-0.63576503226532699</v>
      </c>
      <c r="F212">
        <v>2.39544728996179E-3</v>
      </c>
      <c r="G212">
        <v>8.8957090834567692E-3</v>
      </c>
      <c r="H212">
        <v>0.43358809604194898</v>
      </c>
      <c r="I212">
        <v>-2.0131063412961799E-3</v>
      </c>
    </row>
    <row r="213" spans="1:9" x14ac:dyDescent="0.25">
      <c r="A213">
        <v>169.76969480514501</v>
      </c>
      <c r="B213">
        <v>18.268458580173199</v>
      </c>
      <c r="C213">
        <v>1.63053794760799</v>
      </c>
      <c r="D213">
        <v>1.0139478690886601</v>
      </c>
      <c r="E213">
        <v>-0.59947859609206899</v>
      </c>
      <c r="F213">
        <v>2.3887228378419501E-3</v>
      </c>
      <c r="G213">
        <v>7.5245050646635904E-3</v>
      </c>
      <c r="H213">
        <v>0.42577569470698401</v>
      </c>
      <c r="I213">
        <v>-1.6793328140918501E-3</v>
      </c>
    </row>
    <row r="214" spans="1:9" x14ac:dyDescent="0.25">
      <c r="A214">
        <v>186.03645980358101</v>
      </c>
      <c r="B214">
        <v>18.4625627822649</v>
      </c>
      <c r="C214">
        <v>1.4819693776871601</v>
      </c>
      <c r="D214">
        <v>0.917868126783005</v>
      </c>
      <c r="E214">
        <v>-0.55920964037396304</v>
      </c>
      <c r="F214">
        <v>3.0093635760535999E-3</v>
      </c>
      <c r="G214">
        <v>6.2984991655652299E-3</v>
      </c>
      <c r="H214">
        <v>0.41812604381707802</v>
      </c>
      <c r="I214">
        <v>-1.3809795363608601E-3</v>
      </c>
    </row>
    <row r="215" spans="1:9" x14ac:dyDescent="0.25">
      <c r="A215">
        <v>203.76720398664401</v>
      </c>
      <c r="B215">
        <v>18.655575139023</v>
      </c>
      <c r="C215">
        <v>1.33563352389955</v>
      </c>
      <c r="D215">
        <v>0.82547365851584997</v>
      </c>
      <c r="E215">
        <v>-0.51461117138863699</v>
      </c>
      <c r="F215">
        <v>3.33913317715299E-3</v>
      </c>
      <c r="G215">
        <v>5.1943328432502399E-3</v>
      </c>
      <c r="H215">
        <v>0.41002599738864098</v>
      </c>
      <c r="I215">
        <v>-1.11080725619568E-3</v>
      </c>
    </row>
    <row r="216" spans="1:9" x14ac:dyDescent="0.25">
      <c r="A216">
        <v>223.09376105666101</v>
      </c>
      <c r="B216">
        <v>18.846333173609899</v>
      </c>
      <c r="C216">
        <v>1.1886825876103999</v>
      </c>
      <c r="D216">
        <v>0.73450188546905704</v>
      </c>
      <c r="E216">
        <v>-0.46511748108341699</v>
      </c>
      <c r="F216">
        <v>2.6429068982656298E-3</v>
      </c>
      <c r="G216">
        <v>4.2077739454814602E-3</v>
      </c>
      <c r="H216">
        <v>0.40252846874972598</v>
      </c>
      <c r="I216">
        <v>-8.72585419882792E-4</v>
      </c>
    </row>
    <row r="217" spans="1:9" x14ac:dyDescent="0.25">
      <c r="A217">
        <v>244.15970131754801</v>
      </c>
      <c r="B217">
        <v>19.0326796821725</v>
      </c>
      <c r="C217">
        <v>1.0417185252094801</v>
      </c>
      <c r="D217">
        <v>0.64488921071137595</v>
      </c>
      <c r="E217">
        <v>-0.41024934200244001</v>
      </c>
      <c r="F217">
        <v>2.40224831476918E-3</v>
      </c>
      <c r="G217">
        <v>3.3260610290879399E-3</v>
      </c>
      <c r="H217">
        <v>0.394404788537905</v>
      </c>
      <c r="I217">
        <v>-6.6229067863682301E-4</v>
      </c>
    </row>
    <row r="218" spans="1:9" x14ac:dyDescent="0.25">
      <c r="A218">
        <v>267.12157949805197</v>
      </c>
      <c r="B218">
        <v>19.210697559214701</v>
      </c>
      <c r="C218">
        <v>0.89534825972350496</v>
      </c>
      <c r="D218">
        <v>0.55460985805944996</v>
      </c>
      <c r="E218">
        <v>-0.34985173944662701</v>
      </c>
      <c r="F218">
        <v>2.2316056735155699E-3</v>
      </c>
      <c r="G218">
        <v>2.5610082842920001E-3</v>
      </c>
      <c r="H218">
        <v>0.38685221668185499</v>
      </c>
      <c r="I218">
        <v>-4.86345288769785E-4</v>
      </c>
    </row>
    <row r="219" spans="1:9" x14ac:dyDescent="0.25">
      <c r="A219">
        <v>292.15002954006098</v>
      </c>
      <c r="B219">
        <v>19.376484414137501</v>
      </c>
      <c r="C219">
        <v>0.75183828041644996</v>
      </c>
      <c r="D219">
        <v>0.46345537897706102</v>
      </c>
      <c r="E219">
        <v>-0.28267686155543298</v>
      </c>
      <c r="F219">
        <v>2.9969475644451198E-3</v>
      </c>
      <c r="G219">
        <v>1.9218769849427E-3</v>
      </c>
      <c r="H219">
        <v>0.38156066942448502</v>
      </c>
      <c r="I219">
        <v>-3.4494256684744701E-4</v>
      </c>
    </row>
    <row r="220" spans="1:9" x14ac:dyDescent="0.25">
      <c r="A220">
        <v>319.43101242184599</v>
      </c>
      <c r="B220">
        <v>19.523456802166599</v>
      </c>
      <c r="C220">
        <v>0.61567303467881995</v>
      </c>
      <c r="D220">
        <v>0.37377739318333802</v>
      </c>
      <c r="E220">
        <v>-0.20890329693302601</v>
      </c>
      <c r="F220">
        <v>3.5839251282176799E-3</v>
      </c>
      <c r="G220">
        <v>1.4145361408998099E-3</v>
      </c>
      <c r="H220">
        <v>0.38062249967415801</v>
      </c>
      <c r="I220">
        <v>-2.4115972371030299E-4</v>
      </c>
    </row>
    <row r="221" spans="1:9" x14ac:dyDescent="0.25">
      <c r="A221">
        <v>349.16732590645501</v>
      </c>
      <c r="B221">
        <v>19.638447833753698</v>
      </c>
      <c r="C221">
        <v>0.50266334982893501</v>
      </c>
      <c r="D221">
        <v>0.29755218043117099</v>
      </c>
      <c r="E221">
        <v>-0.127163507788463</v>
      </c>
      <c r="F221">
        <v>1.81431037162298E-3</v>
      </c>
      <c r="G221">
        <v>1.05537350324689E-3</v>
      </c>
      <c r="H221">
        <v>0.38185373730868</v>
      </c>
      <c r="I221">
        <v>-1.7602760228279001E-4</v>
      </c>
    </row>
    <row r="222" spans="1:9" x14ac:dyDescent="0.25">
      <c r="A222">
        <v>379.83785875141598</v>
      </c>
      <c r="B222">
        <v>19.6988171688687</v>
      </c>
      <c r="C222">
        <v>0.43940329589417998</v>
      </c>
      <c r="D222">
        <v>0.25553314847866299</v>
      </c>
      <c r="E222">
        <v>-4.20940927040028E-2</v>
      </c>
      <c r="F222" s="1">
        <v>1.08053986083552E-3</v>
      </c>
      <c r="G222">
        <v>8.7116861316642298E-4</v>
      </c>
      <c r="H222">
        <v>0.39867733681066397</v>
      </c>
      <c r="I222">
        <v>-1.4139622610118201E-4</v>
      </c>
    </row>
    <row r="223" spans="1:9" x14ac:dyDescent="0.25">
      <c r="A223" t="s">
        <v>481</v>
      </c>
      <c r="B223" t="s">
        <v>473</v>
      </c>
      <c r="C223" t="s">
        <v>474</v>
      </c>
      <c r="D223" t="s">
        <v>475</v>
      </c>
      <c r="E223" t="s">
        <v>476</v>
      </c>
      <c r="F223" t="s">
        <v>477</v>
      </c>
      <c r="G223" t="s">
        <v>390</v>
      </c>
      <c r="H223" t="s">
        <v>478</v>
      </c>
      <c r="I223" t="s">
        <v>471</v>
      </c>
    </row>
    <row r="224" spans="1:9" x14ac:dyDescent="0.25">
      <c r="A224">
        <v>-141.555516719818</v>
      </c>
      <c r="B224">
        <v>-452.24695499217103</v>
      </c>
      <c r="C224">
        <v>1.2616348560356899E-2</v>
      </c>
      <c r="D224">
        <v>0</v>
      </c>
      <c r="E224">
        <v>0</v>
      </c>
      <c r="F224">
        <v>0</v>
      </c>
      <c r="G224" s="1">
        <v>7.7244489215234302E-7</v>
      </c>
      <c r="H224">
        <v>7.4684639334565595E-2</v>
      </c>
      <c r="I224">
        <v>0</v>
      </c>
    </row>
    <row r="225" spans="1:9" x14ac:dyDescent="0.25">
      <c r="A225">
        <v>-128.95890593528699</v>
      </c>
      <c r="B225">
        <v>-412.027445986624</v>
      </c>
      <c r="C225">
        <v>1.2978593768764301E-2</v>
      </c>
      <c r="D225">
        <v>0</v>
      </c>
      <c r="E225">
        <v>0</v>
      </c>
      <c r="F225">
        <v>0</v>
      </c>
      <c r="G225" s="1">
        <v>1.27035600790884E-6</v>
      </c>
      <c r="H225">
        <v>0.39414764974139199</v>
      </c>
      <c r="I225">
        <v>0</v>
      </c>
    </row>
    <row r="226" spans="1:9" x14ac:dyDescent="0.25">
      <c r="A226">
        <v>-117.402367591857</v>
      </c>
      <c r="B226">
        <v>-375.12455697333399</v>
      </c>
      <c r="C226">
        <v>1.37907830197292E-2</v>
      </c>
      <c r="D226">
        <v>0</v>
      </c>
      <c r="E226">
        <v>0</v>
      </c>
      <c r="F226">
        <v>0</v>
      </c>
      <c r="G226" s="1">
        <v>2.2345447632414499E-6</v>
      </c>
      <c r="H226">
        <v>0.60135968245511695</v>
      </c>
      <c r="I226">
        <v>0</v>
      </c>
    </row>
    <row r="227" spans="1:9" x14ac:dyDescent="0.25">
      <c r="A227">
        <v>-106.80001378059301</v>
      </c>
      <c r="B227">
        <v>-341.26517946993903</v>
      </c>
      <c r="C227">
        <v>1.52317363047771E-2</v>
      </c>
      <c r="D227">
        <v>0</v>
      </c>
      <c r="E227">
        <v>0</v>
      </c>
      <c r="F227">
        <v>0</v>
      </c>
      <c r="G227" s="1">
        <v>3.7202588387685801E-6</v>
      </c>
      <c r="H227">
        <v>0.70274616039948401</v>
      </c>
      <c r="I227">
        <v>0</v>
      </c>
    </row>
    <row r="228" spans="1:9" x14ac:dyDescent="0.25">
      <c r="A228">
        <v>-97.073161005973802</v>
      </c>
      <c r="B228">
        <v>-310.19854809319497</v>
      </c>
      <c r="C228">
        <v>1.7521690710786599E-2</v>
      </c>
      <c r="D228">
        <v>0</v>
      </c>
      <c r="E228">
        <v>0</v>
      </c>
      <c r="F228">
        <v>0</v>
      </c>
      <c r="G228" s="1">
        <v>5.89138064828358E-6</v>
      </c>
      <c r="H228">
        <v>0.75288554829711696</v>
      </c>
      <c r="I228">
        <v>0</v>
      </c>
    </row>
    <row r="229" spans="1:9" x14ac:dyDescent="0.25">
      <c r="A229">
        <v>-88.149435520172105</v>
      </c>
      <c r="B229">
        <v>-281.69454540288001</v>
      </c>
      <c r="C229">
        <v>2.09100867060385E-2</v>
      </c>
      <c r="D229">
        <v>0</v>
      </c>
      <c r="E229">
        <v>0</v>
      </c>
      <c r="F229">
        <v>0</v>
      </c>
      <c r="G229" s="1">
        <v>9.0393733459110199E-6</v>
      </c>
      <c r="H229">
        <v>0.77908745111978495</v>
      </c>
      <c r="I229">
        <v>0</v>
      </c>
    </row>
    <row r="230" spans="1:9" x14ac:dyDescent="0.25">
      <c r="A230">
        <v>-79.962490797042804</v>
      </c>
      <c r="B230">
        <v>-255.54195965802199</v>
      </c>
      <c r="C230">
        <v>2.5681273120881001E-2</v>
      </c>
      <c r="D230">
        <v>0</v>
      </c>
      <c r="E230">
        <v>0</v>
      </c>
      <c r="F230">
        <v>0</v>
      </c>
      <c r="G230" s="1">
        <v>1.36118968059488E-5</v>
      </c>
      <c r="H230">
        <v>0.79389005431149295</v>
      </c>
      <c r="I230">
        <v>0</v>
      </c>
    </row>
    <row r="231" spans="1:9" x14ac:dyDescent="0.25">
      <c r="A231">
        <v>-72.451583743095298</v>
      </c>
      <c r="B231">
        <v>-231.54698978340201</v>
      </c>
      <c r="C231">
        <v>3.2167131052673797E-2</v>
      </c>
      <c r="D231">
        <v>0</v>
      </c>
      <c r="E231">
        <v>0</v>
      </c>
      <c r="F231">
        <v>0</v>
      </c>
      <c r="G231" s="1">
        <v>2.0257363023263102E-5</v>
      </c>
      <c r="H231">
        <v>0.80322946010865504</v>
      </c>
      <c r="I231">
        <v>0</v>
      </c>
    </row>
    <row r="232" spans="1:9" x14ac:dyDescent="0.25">
      <c r="A232">
        <v>-65.560821294784503</v>
      </c>
      <c r="B232">
        <v>-209.531750336047</v>
      </c>
      <c r="C232">
        <v>4.0761259822374898E-2</v>
      </c>
      <c r="D232">
        <v>0</v>
      </c>
      <c r="E232">
        <v>0</v>
      </c>
      <c r="F232">
        <v>0</v>
      </c>
      <c r="G232" s="1">
        <v>2.9892131582989501E-5</v>
      </c>
      <c r="H232">
        <v>0.80996489774463398</v>
      </c>
      <c r="I232">
        <v>0</v>
      </c>
    </row>
    <row r="233" spans="1:9" x14ac:dyDescent="0.25">
      <c r="A233">
        <v>-59.238972067832897</v>
      </c>
      <c r="B233">
        <v>-189.33303545391101</v>
      </c>
      <c r="C233">
        <v>5.1932880231930698E-2</v>
      </c>
      <c r="D233">
        <v>0</v>
      </c>
      <c r="E233">
        <v>0</v>
      </c>
      <c r="F233">
        <v>0</v>
      </c>
      <c r="G233" s="1">
        <v>4.3798363580713398E-5</v>
      </c>
      <c r="H233">
        <v>0.81546706020422799</v>
      </c>
      <c r="I233">
        <v>0</v>
      </c>
    </row>
    <row r="234" spans="1:9" x14ac:dyDescent="0.25">
      <c r="A234">
        <v>-53.439136743545497</v>
      </c>
      <c r="B234">
        <v>-170.80104748880399</v>
      </c>
      <c r="C234">
        <v>6.6240328739297596E-2</v>
      </c>
      <c r="D234">
        <v>0</v>
      </c>
      <c r="E234">
        <v>0</v>
      </c>
      <c r="F234">
        <v>0</v>
      </c>
      <c r="G234" s="1">
        <v>6.3764252912298195E-5</v>
      </c>
      <c r="H234">
        <v>0.82038665880054096</v>
      </c>
      <c r="I234">
        <v>0</v>
      </c>
    </row>
    <row r="235" spans="1:9" x14ac:dyDescent="0.25">
      <c r="A235">
        <v>-48.118183016777003</v>
      </c>
      <c r="B235">
        <v>-153.79831398999301</v>
      </c>
      <c r="C235">
        <v>8.4344970693450705E-2</v>
      </c>
      <c r="D235">
        <v>0</v>
      </c>
      <c r="E235">
        <v>0</v>
      </c>
      <c r="F235">
        <v>0</v>
      </c>
      <c r="G235" s="1">
        <v>9.2285210915139603E-5</v>
      </c>
      <c r="H235">
        <v>0.825037628121848</v>
      </c>
      <c r="I235">
        <v>0</v>
      </c>
    </row>
    <row r="236" spans="1:9" x14ac:dyDescent="0.25">
      <c r="A236">
        <v>-43.236604332923797</v>
      </c>
      <c r="B236">
        <v>-138.198728292938</v>
      </c>
      <c r="C236">
        <v>0.10702680311283</v>
      </c>
      <c r="D236">
        <v>0</v>
      </c>
      <c r="E236">
        <v>0</v>
      </c>
      <c r="F236">
        <v>0</v>
      </c>
      <c r="G236" s="1">
        <v>1.3285576158112301E-4</v>
      </c>
      <c r="H236">
        <v>0.82958799975924302</v>
      </c>
      <c r="I236">
        <v>0</v>
      </c>
    </row>
    <row r="237" spans="1:9" x14ac:dyDescent="0.25">
      <c r="A237">
        <v>-38.758049011230398</v>
      </c>
      <c r="B237">
        <v>-123.88654890632201</v>
      </c>
      <c r="C237">
        <v>0.13520336781596101</v>
      </c>
      <c r="D237">
        <v>0</v>
      </c>
      <c r="E237">
        <v>0</v>
      </c>
      <c r="F237">
        <v>0</v>
      </c>
      <c r="G237" s="1">
        <v>1.9039948931265301E-4</v>
      </c>
      <c r="H237">
        <v>0.83415285770667502</v>
      </c>
      <c r="I237">
        <v>0</v>
      </c>
    </row>
    <row r="238" spans="1:9" x14ac:dyDescent="0.25">
      <c r="A238">
        <v>-34.649320244789102</v>
      </c>
      <c r="B238">
        <v>-110.755575477834</v>
      </c>
      <c r="C238">
        <v>0.169954322970511</v>
      </c>
      <c r="D238">
        <v>0</v>
      </c>
      <c r="E238">
        <v>0</v>
      </c>
      <c r="F238">
        <v>0</v>
      </c>
      <c r="G238" s="1">
        <v>2.7191092608693201E-4</v>
      </c>
      <c r="H238">
        <v>0.83883704611666998</v>
      </c>
      <c r="I238">
        <v>0</v>
      </c>
    </row>
    <row r="239" spans="1:9" x14ac:dyDescent="0.25">
      <c r="A239">
        <v>-30.879811048507602</v>
      </c>
      <c r="B239">
        <v>-98.708360075708399</v>
      </c>
      <c r="C239">
        <v>0.21255432045563699</v>
      </c>
      <c r="D239">
        <v>0</v>
      </c>
      <c r="E239">
        <v>0</v>
      </c>
      <c r="F239">
        <v>0</v>
      </c>
      <c r="G239" s="1">
        <v>3.8742356484642801E-4</v>
      </c>
      <c r="H239">
        <v>0.84375119791161002</v>
      </c>
      <c r="I239">
        <v>0</v>
      </c>
    </row>
    <row r="240" spans="1:9" x14ac:dyDescent="0.25">
      <c r="A240">
        <v>-27.4215984344482</v>
      </c>
      <c r="B240">
        <v>-87.655483215805106</v>
      </c>
      <c r="C240">
        <v>0.26451779428384697</v>
      </c>
      <c r="D240">
        <v>0</v>
      </c>
      <c r="E240">
        <v>0</v>
      </c>
      <c r="F240">
        <v>0</v>
      </c>
      <c r="G240" s="1">
        <v>5.5147718909482203E-4</v>
      </c>
      <c r="H240">
        <v>0.84901181370508605</v>
      </c>
      <c r="I240">
        <v>0</v>
      </c>
    </row>
    <row r="241" spans="1:9" x14ac:dyDescent="0.25">
      <c r="A241">
        <v>-24.248878359794599</v>
      </c>
      <c r="B241">
        <v>-77.5149093491397</v>
      </c>
      <c r="C241">
        <v>0.327659890592713</v>
      </c>
      <c r="D241">
        <v>0</v>
      </c>
      <c r="E241">
        <v>0</v>
      </c>
      <c r="F241">
        <v>0</v>
      </c>
      <c r="G241" s="1">
        <v>7.8534222460837895E-4</v>
      </c>
      <c r="H241">
        <v>0.85473036974797401</v>
      </c>
      <c r="I241">
        <v>0</v>
      </c>
    </row>
    <row r="242" spans="1:9" x14ac:dyDescent="0.25">
      <c r="A242">
        <v>-21.3381540775299</v>
      </c>
      <c r="B242">
        <v>-68.211354121323595</v>
      </c>
      <c r="C242">
        <v>0.40417838167741099</v>
      </c>
      <c r="D242">
        <v>0</v>
      </c>
      <c r="E242">
        <v>0</v>
      </c>
      <c r="F242">
        <v>0</v>
      </c>
      <c r="G242">
        <v>1.12037336988963E-3</v>
      </c>
      <c r="H242">
        <v>0.86099510130671897</v>
      </c>
      <c r="I242">
        <v>0</v>
      </c>
    </row>
    <row r="243" spans="1:9" x14ac:dyDescent="0.25">
      <c r="A243">
        <v>-18.6677181720733</v>
      </c>
      <c r="B243">
        <v>-59.675753164794202</v>
      </c>
      <c r="C243">
        <v>0.49676224022050502</v>
      </c>
      <c r="D243">
        <v>0</v>
      </c>
      <c r="E243">
        <v>0</v>
      </c>
      <c r="F243">
        <v>0</v>
      </c>
      <c r="G243">
        <v>1.60302339609713E-3</v>
      </c>
      <c r="H243">
        <v>0.867850401764655</v>
      </c>
      <c r="I243">
        <v>0</v>
      </c>
    </row>
    <row r="244" spans="1:9" x14ac:dyDescent="0.25">
      <c r="A244">
        <v>-16.2178409099578</v>
      </c>
      <c r="B244">
        <v>-51.8447345122892</v>
      </c>
      <c r="C244">
        <v>0.60873180487987999</v>
      </c>
      <c r="D244">
        <v>0</v>
      </c>
      <c r="E244">
        <v>0</v>
      </c>
      <c r="F244">
        <v>0</v>
      </c>
      <c r="G244">
        <v>2.30227011010916E-3</v>
      </c>
      <c r="H244">
        <v>0.87528068736584896</v>
      </c>
      <c r="I244">
        <v>0</v>
      </c>
    </row>
    <row r="245" spans="1:9" x14ac:dyDescent="0.25">
      <c r="A245">
        <v>-13.9702051877975</v>
      </c>
      <c r="B245">
        <v>-44.660149479042701</v>
      </c>
      <c r="C245">
        <v>0.74421697612478899</v>
      </c>
      <c r="D245">
        <v>0</v>
      </c>
      <c r="E245">
        <v>0</v>
      </c>
      <c r="F245">
        <v>0</v>
      </c>
      <c r="G245">
        <v>3.3205316442665401E-3</v>
      </c>
      <c r="H245">
        <v>0.88320529974849005</v>
      </c>
      <c r="I245">
        <v>0</v>
      </c>
    </row>
    <row r="246" spans="1:9" x14ac:dyDescent="0.25">
      <c r="A246">
        <v>-11.908189058303799</v>
      </c>
      <c r="B246">
        <v>-38.068650506194601</v>
      </c>
      <c r="C246">
        <v>0.90837787681721205</v>
      </c>
      <c r="D246">
        <v>0</v>
      </c>
      <c r="E246">
        <v>0</v>
      </c>
      <c r="F246">
        <v>0</v>
      </c>
      <c r="G246">
        <v>4.8096321937079502E-3</v>
      </c>
      <c r="H246">
        <v>0.89148782393716797</v>
      </c>
      <c r="I246">
        <v>0</v>
      </c>
    </row>
    <row r="247" spans="1:9" x14ac:dyDescent="0.25">
      <c r="A247">
        <v>-10.016394853591899</v>
      </c>
      <c r="B247">
        <v>-32.021287075933003</v>
      </c>
      <c r="C247">
        <v>1.10767532106592</v>
      </c>
      <c r="D247">
        <v>0</v>
      </c>
      <c r="E247">
        <v>0</v>
      </c>
      <c r="F247">
        <v>0</v>
      </c>
      <c r="G247">
        <v>6.9941561839816403E-3</v>
      </c>
      <c r="H247">
        <v>0.89995727891033805</v>
      </c>
      <c r="I247">
        <v>0</v>
      </c>
    </row>
    <row r="248" spans="1:9" x14ac:dyDescent="0.25">
      <c r="A248">
        <v>-8.2808375358581507</v>
      </c>
      <c r="B248">
        <v>-26.4731500593386</v>
      </c>
      <c r="C248">
        <v>1.3501974060773101</v>
      </c>
      <c r="D248">
        <v>0</v>
      </c>
      <c r="E248">
        <v>0</v>
      </c>
      <c r="F248">
        <v>0</v>
      </c>
      <c r="G248">
        <v>1.0205731032328901E-2</v>
      </c>
      <c r="H248">
        <v>0.90843456774575904</v>
      </c>
      <c r="I248">
        <v>0</v>
      </c>
    </row>
    <row r="249" spans="1:9" x14ac:dyDescent="0.25">
      <c r="A249">
        <v>-6.6885209083557102</v>
      </c>
      <c r="B249">
        <v>-21.383034802731</v>
      </c>
      <c r="C249">
        <v>1.6460561335861701</v>
      </c>
      <c r="D249">
        <v>0</v>
      </c>
      <c r="E249">
        <v>0</v>
      </c>
      <c r="F249">
        <v>0</v>
      </c>
      <c r="G249">
        <v>1.49337137638492E-2</v>
      </c>
      <c r="H249">
        <v>0.91675593999567595</v>
      </c>
      <c r="I249">
        <v>0</v>
      </c>
    </row>
    <row r="250" spans="1:9" x14ac:dyDescent="0.25">
      <c r="A250">
        <v>-5.2277201414108196</v>
      </c>
      <c r="B250">
        <v>-16.713135793562898</v>
      </c>
      <c r="C250">
        <v>2.0078691026810702</v>
      </c>
      <c r="D250">
        <v>0</v>
      </c>
      <c r="E250">
        <v>0</v>
      </c>
      <c r="F250">
        <v>0</v>
      </c>
      <c r="G250">
        <v>2.1900782451036899E-2</v>
      </c>
      <c r="H250">
        <v>0.92478833268008098</v>
      </c>
      <c r="I250">
        <v>0</v>
      </c>
    </row>
    <row r="251" spans="1:9" x14ac:dyDescent="0.25">
      <c r="A251">
        <v>-3.88755798339843</v>
      </c>
      <c r="B251">
        <v>-12.428764134403201</v>
      </c>
      <c r="C251">
        <v>2.4513560028935801</v>
      </c>
      <c r="D251">
        <v>0</v>
      </c>
      <c r="E251">
        <v>0</v>
      </c>
      <c r="F251">
        <v>0</v>
      </c>
      <c r="G251">
        <v>3.2176573022297802E-2</v>
      </c>
      <c r="H251">
        <v>0.932434720591234</v>
      </c>
      <c r="I251">
        <v>0</v>
      </c>
    </row>
    <row r="252" spans="1:9" x14ac:dyDescent="0.25">
      <c r="A252">
        <v>-2.6580518484115601</v>
      </c>
      <c r="B252">
        <v>-8.4981062186322696</v>
      </c>
      <c r="C252">
        <v>2.99608651876042</v>
      </c>
      <c r="D252">
        <v>0</v>
      </c>
      <c r="E252">
        <v>0</v>
      </c>
      <c r="F252">
        <v>0</v>
      </c>
      <c r="G252">
        <v>4.7349786842600002E-2</v>
      </c>
      <c r="H252">
        <v>0.93963186287309797</v>
      </c>
      <c r="I252">
        <v>0</v>
      </c>
    </row>
    <row r="253" spans="1:9" x14ac:dyDescent="0.25">
      <c r="A253">
        <v>-1.5300196409225399</v>
      </c>
      <c r="B253">
        <v>-4.8919470903835798</v>
      </c>
      <c r="C253">
        <v>3.6664283898517098</v>
      </c>
      <c r="D253">
        <v>0</v>
      </c>
      <c r="E253">
        <v>0</v>
      </c>
      <c r="F253">
        <v>0</v>
      </c>
      <c r="G253">
        <v>6.9787644074844599E-2</v>
      </c>
      <c r="H253">
        <v>0.94634182659503896</v>
      </c>
      <c r="I253">
        <v>0</v>
      </c>
    </row>
    <row r="254" spans="1:9" x14ac:dyDescent="0.25">
      <c r="A254">
        <v>-0.49517393112182601</v>
      </c>
      <c r="B254">
        <v>-1.58351446663957</v>
      </c>
      <c r="C254">
        <v>4.49279417853176</v>
      </c>
      <c r="D254">
        <v>0</v>
      </c>
      <c r="E254">
        <v>0</v>
      </c>
      <c r="F254">
        <v>0</v>
      </c>
      <c r="G254">
        <v>0.10551711533760399</v>
      </c>
      <c r="H254">
        <v>0.95366345372931305</v>
      </c>
      <c r="I254">
        <v>0</v>
      </c>
    </row>
    <row r="255" spans="1:9" x14ac:dyDescent="0.25">
      <c r="A255">
        <v>0.49376130104064903</v>
      </c>
      <c r="B255">
        <v>0.493934646490998</v>
      </c>
      <c r="C255">
        <v>5.1642261554661602</v>
      </c>
      <c r="D255">
        <v>0.32096359204049302</v>
      </c>
      <c r="E255">
        <v>-4.8639999844498E-4</v>
      </c>
      <c r="F255">
        <v>1.8385750210898899E-4</v>
      </c>
      <c r="G255">
        <v>3.36610962891098E-2</v>
      </c>
      <c r="H255">
        <v>0.77381695165216302</v>
      </c>
      <c r="I255" s="1">
        <v>5.5840294965729399E-7</v>
      </c>
    </row>
    <row r="256" spans="1:9" x14ac:dyDescent="0.25">
      <c r="A256">
        <v>1.5257111191749499</v>
      </c>
      <c r="B256">
        <v>1.5249309393205099</v>
      </c>
      <c r="C256">
        <v>5.5940116654710401</v>
      </c>
      <c r="D256">
        <v>1.08875110547178</v>
      </c>
      <c r="E256">
        <v>-4.5491872302819902E-3</v>
      </c>
      <c r="F256">
        <v>6.3179227275893604E-4</v>
      </c>
      <c r="G256">
        <v>6.3537381047925001E-2</v>
      </c>
      <c r="H256">
        <v>0.86665899351619802</v>
      </c>
      <c r="I256" s="1">
        <v>2.8061260173818299E-5</v>
      </c>
    </row>
    <row r="257" spans="1:9" x14ac:dyDescent="0.25">
      <c r="A257">
        <v>2.6505178213119498</v>
      </c>
      <c r="B257">
        <v>2.63761845255274</v>
      </c>
      <c r="C257">
        <v>6.1983798541405104</v>
      </c>
      <c r="D257">
        <v>2.1012526227436199</v>
      </c>
      <c r="E257">
        <v>-1.8450495322310301E-2</v>
      </c>
      <c r="F257">
        <v>1.2129882941027399E-3</v>
      </c>
      <c r="G257">
        <v>9.6658430768130896E-2</v>
      </c>
      <c r="H257">
        <v>0.89894975773206798</v>
      </c>
      <c r="I257">
        <v>1.7283528454827799E-4</v>
      </c>
    </row>
    <row r="258" spans="1:9" x14ac:dyDescent="0.25">
      <c r="A258">
        <v>3.8765159249305698</v>
      </c>
      <c r="B258">
        <v>3.82199105644602</v>
      </c>
      <c r="C258">
        <v>7.0387160828431599</v>
      </c>
      <c r="D258">
        <v>3.4004001813819298</v>
      </c>
      <c r="E258">
        <v>-4.8271962168996298E-2</v>
      </c>
      <c r="F258">
        <v>1.89002263891843E-3</v>
      </c>
      <c r="G258">
        <v>0.123266346274746</v>
      </c>
      <c r="H258">
        <v>0.90516138169607596</v>
      </c>
      <c r="I258">
        <v>4.5689362442723203E-4</v>
      </c>
    </row>
    <row r="259" spans="1:9" x14ac:dyDescent="0.25">
      <c r="A259">
        <v>5.2129346132278398</v>
      </c>
      <c r="B259">
        <v>5.0555702748336202</v>
      </c>
      <c r="C259">
        <v>8.1085909691864693</v>
      </c>
      <c r="D259">
        <v>4.9397164665364803</v>
      </c>
      <c r="E259">
        <v>-9.99758365057037E-2</v>
      </c>
      <c r="F259">
        <v>2.5438692802213902E-3</v>
      </c>
      <c r="G259">
        <v>0.13716635813273101</v>
      </c>
      <c r="H259">
        <v>0.89572387989246705</v>
      </c>
      <c r="I259">
        <v>1.0002326689226601E-3</v>
      </c>
    </row>
    <row r="260" spans="1:9" x14ac:dyDescent="0.25">
      <c r="A260">
        <v>6.6695916652679399</v>
      </c>
      <c r="B260">
        <v>6.3024399879016304</v>
      </c>
      <c r="C260">
        <v>9.2855289505678194</v>
      </c>
      <c r="D260">
        <v>6.54918639257144</v>
      </c>
      <c r="E260">
        <v>-0.17514617373081401</v>
      </c>
      <c r="F260" s="1">
        <v>3.0087707602146898E-3</v>
      </c>
      <c r="G260">
        <v>0.14018253630553101</v>
      </c>
      <c r="H260">
        <v>0.87570166811727901</v>
      </c>
      <c r="I260">
        <v>2.4965859953280899E-3</v>
      </c>
    </row>
    <row r="261" spans="1:9" x14ac:dyDescent="0.25">
      <c r="A261">
        <v>8.2573878765106201</v>
      </c>
      <c r="B261">
        <v>7.5183554443158496</v>
      </c>
      <c r="C261">
        <v>10.3559680468606</v>
      </c>
      <c r="D261">
        <v>7.9784625203833102</v>
      </c>
      <c r="E261">
        <v>-0.26859945276817798</v>
      </c>
      <c r="F261">
        <v>3.17284431634273E-3</v>
      </c>
      <c r="G261">
        <v>0.139059703251707</v>
      </c>
      <c r="H261">
        <v>0.85078104126249599</v>
      </c>
      <c r="I261">
        <v>6.2362979442701898E-3</v>
      </c>
    </row>
    <row r="262" spans="1:9" x14ac:dyDescent="0.25">
      <c r="A262">
        <v>9.9880245327949506</v>
      </c>
      <c r="B262">
        <v>8.6610790046491104</v>
      </c>
      <c r="C262">
        <v>11.1152720339305</v>
      </c>
      <c r="D262">
        <v>9.0092850393664001</v>
      </c>
      <c r="E262">
        <v>-0.36985402594245398</v>
      </c>
      <c r="F262">
        <v>3.0510114040238202E-3</v>
      </c>
      <c r="G262">
        <v>0.13886838490706099</v>
      </c>
      <c r="H262">
        <v>0.82640833295553295</v>
      </c>
      <c r="I262">
        <v>1.1487896834388099E-2</v>
      </c>
    </row>
    <row r="263" spans="1:9" x14ac:dyDescent="0.25">
      <c r="A263">
        <v>11.874474287032999</v>
      </c>
      <c r="B263">
        <v>9.7007158848084796</v>
      </c>
      <c r="C263">
        <v>11.460536736558399</v>
      </c>
      <c r="D263">
        <v>9.5465900086658007</v>
      </c>
      <c r="E263">
        <v>-0.46784457923804701</v>
      </c>
      <c r="F263">
        <v>2.7759832030334899E-3</v>
      </c>
      <c r="G263">
        <v>0.13983704203785799</v>
      </c>
      <c r="H263">
        <v>0.80433682244523697</v>
      </c>
      <c r="I263">
        <v>1.3953989568579E-2</v>
      </c>
    </row>
    <row r="264" spans="1:9" x14ac:dyDescent="0.25">
      <c r="A264">
        <v>13.9306750893592</v>
      </c>
      <c r="B264">
        <v>10.6241050812043</v>
      </c>
      <c r="C264">
        <v>11.4056483038439</v>
      </c>
      <c r="D264">
        <v>9.6238491570500209</v>
      </c>
      <c r="E264">
        <v>-0.55497622930847201</v>
      </c>
      <c r="F264">
        <v>2.51614189478378E-3</v>
      </c>
      <c r="G264">
        <v>0.13942358474911601</v>
      </c>
      <c r="H264">
        <v>0.78328414812599401</v>
      </c>
      <c r="I264">
        <v>1.09792504296083E-2</v>
      </c>
    </row>
    <row r="265" spans="1:9" x14ac:dyDescent="0.25">
      <c r="A265">
        <v>16.171883344650201</v>
      </c>
      <c r="B265">
        <v>11.432441443447001</v>
      </c>
      <c r="C265">
        <v>11.035000964875501</v>
      </c>
      <c r="D265">
        <v>9.3456921197037293</v>
      </c>
      <c r="E265">
        <v>-0.62803264104330703</v>
      </c>
      <c r="F265" s="1">
        <v>2.3524300023877801E-3</v>
      </c>
      <c r="G265">
        <v>0.13569564950565</v>
      </c>
      <c r="H265">
        <v>0.76174043879795506</v>
      </c>
      <c r="I265">
        <v>4.3138763605788701E-3</v>
      </c>
    </row>
    <row r="266" spans="1:9" x14ac:dyDescent="0.25">
      <c r="A266">
        <v>18.614838719367899</v>
      </c>
      <c r="B266">
        <v>12.135519206766</v>
      </c>
      <c r="C266">
        <v>10.4507609945358</v>
      </c>
      <c r="D266">
        <v>8.8309755770838301</v>
      </c>
      <c r="E266">
        <v>-0.68693673109242503</v>
      </c>
      <c r="F266">
        <v>2.2246683402544101E-3</v>
      </c>
      <c r="G266">
        <v>0.12857588116327501</v>
      </c>
      <c r="H266">
        <v>0.73907514513315897</v>
      </c>
      <c r="I266">
        <v>-2.9124291989694301E-3</v>
      </c>
    </row>
    <row r="267" spans="1:9" x14ac:dyDescent="0.25">
      <c r="A267">
        <v>21.2777170538902</v>
      </c>
      <c r="B267">
        <v>12.7466524096765</v>
      </c>
      <c r="C267">
        <v>9.7426650203487899</v>
      </c>
      <c r="D267">
        <v>8.1803150027767693</v>
      </c>
      <c r="E267">
        <v>-0.73315477923164196</v>
      </c>
      <c r="F267">
        <v>2.0549645037436001E-3</v>
      </c>
      <c r="G267">
        <v>0.119155785835448</v>
      </c>
      <c r="H267">
        <v>0.71534146433523804</v>
      </c>
      <c r="I267">
        <v>-8.7944131303937193E-3</v>
      </c>
    </row>
    <row r="268" spans="1:9" x14ac:dyDescent="0.25">
      <c r="A268">
        <v>24.180224537849401</v>
      </c>
      <c r="B268">
        <v>13.2794964762963</v>
      </c>
      <c r="C268">
        <v>8.9789188732538605</v>
      </c>
      <c r="D268">
        <v>7.4685051502534403</v>
      </c>
      <c r="E268">
        <v>-0.76861389200584795</v>
      </c>
      <c r="F268">
        <v>1.8209563429527501E-3</v>
      </c>
      <c r="G268">
        <v>0.108680666231552</v>
      </c>
      <c r="H268">
        <v>0.69095065636780695</v>
      </c>
      <c r="I268">
        <v>-1.28146050040257E-2</v>
      </c>
    </row>
    <row r="269" spans="1:9" x14ac:dyDescent="0.25">
      <c r="A269">
        <v>27.343950867652801</v>
      </c>
      <c r="B269">
        <v>13.746694445852199</v>
      </c>
      <c r="C269">
        <v>8.2074877779632498</v>
      </c>
      <c r="D269">
        <v>6.7468267033504699</v>
      </c>
      <c r="E269">
        <v>-0.795181103074732</v>
      </c>
      <c r="F269">
        <v>1.4877843876409599E-3</v>
      </c>
      <c r="G269">
        <v>9.8059846263402903E-2</v>
      </c>
      <c r="H269">
        <v>0.66646893152692799</v>
      </c>
      <c r="I269">
        <v>-1.5149027432997699E-2</v>
      </c>
    </row>
    <row r="270" spans="1:9" x14ac:dyDescent="0.25">
      <c r="A270">
        <v>30.7923927903175</v>
      </c>
      <c r="B270">
        <v>14.1593825521506</v>
      </c>
      <c r="C270">
        <v>7.4603807158382498</v>
      </c>
      <c r="D270">
        <v>6.0484720183943201</v>
      </c>
      <c r="E270">
        <v>-0.81446391544251495</v>
      </c>
      <c r="F270">
        <v>1.0652176109467401E-3</v>
      </c>
      <c r="G270">
        <v>8.7806031401746407E-2</v>
      </c>
      <c r="H270">
        <v>0.64249460907963496</v>
      </c>
      <c r="I270">
        <v>-1.6154329047831598E-2</v>
      </c>
    </row>
    <row r="271" spans="1:9" x14ac:dyDescent="0.25">
      <c r="A271">
        <v>34.551213085651298</v>
      </c>
      <c r="B271">
        <v>14.527160793785001</v>
      </c>
      <c r="C271">
        <v>6.7576464390185702</v>
      </c>
      <c r="D271">
        <v>5.3938821044546703</v>
      </c>
      <c r="E271">
        <v>-0.82779222981048495</v>
      </c>
      <c r="F271">
        <v>6.7933210277954903E-4</v>
      </c>
      <c r="G271">
        <v>7.8137295349250596E-2</v>
      </c>
      <c r="H271">
        <v>0.61954580577693497</v>
      </c>
      <c r="I271">
        <v>-1.6169361261797899E-2</v>
      </c>
    </row>
    <row r="272" spans="1:9" x14ac:dyDescent="0.25">
      <c r="A272">
        <v>38.6483111977577</v>
      </c>
      <c r="B272">
        <v>14.8581812235154</v>
      </c>
      <c r="C272">
        <v>6.1105441714062101</v>
      </c>
      <c r="D272">
        <v>4.79406849849304</v>
      </c>
      <c r="E272">
        <v>-0.83618878604792501</v>
      </c>
      <c r="F272">
        <v>4.9407190533442701E-4</v>
      </c>
      <c r="G272">
        <v>6.9118962734966205E-2</v>
      </c>
      <c r="H272">
        <v>0.59803749458427502</v>
      </c>
      <c r="I272">
        <v>-1.5469101191676601E-2</v>
      </c>
    </row>
    <row r="273" spans="1:9" x14ac:dyDescent="0.25">
      <c r="A273">
        <v>43.1141293048858</v>
      </c>
      <c r="B273">
        <v>15.1593245270289</v>
      </c>
      <c r="C273">
        <v>5.5240723363567596</v>
      </c>
      <c r="D273">
        <v>4.25390599638963</v>
      </c>
      <c r="E273">
        <v>-0.840404318193685</v>
      </c>
      <c r="F273">
        <v>5.4809214012641798E-4</v>
      </c>
      <c r="G273">
        <v>6.0783577658365201E-2</v>
      </c>
      <c r="H273">
        <v>0.57826840702774096</v>
      </c>
      <c r="I273">
        <v>-1.4299002480075E-2</v>
      </c>
    </row>
    <row r="274" spans="1:9" x14ac:dyDescent="0.25">
      <c r="A274">
        <v>47.981887757778097</v>
      </c>
      <c r="B274">
        <v>15.4364119174518</v>
      </c>
      <c r="C274">
        <v>4.9987701687314203</v>
      </c>
      <c r="D274">
        <v>3.77403140213287</v>
      </c>
      <c r="E274">
        <v>-0.84095054250012702</v>
      </c>
      <c r="F274">
        <v>6.9143695218069499E-4</v>
      </c>
      <c r="G274">
        <v>5.3166280291202697E-2</v>
      </c>
      <c r="H274">
        <v>0.56050814524999704</v>
      </c>
      <c r="I274">
        <v>-1.2873534926604001E-2</v>
      </c>
    </row>
    <row r="275" spans="1:9" x14ac:dyDescent="0.25">
      <c r="A275">
        <v>53.287820518016801</v>
      </c>
      <c r="B275">
        <v>15.694287538770601</v>
      </c>
      <c r="C275">
        <v>4.5327758892199101</v>
      </c>
      <c r="D275">
        <v>3.35310646790413</v>
      </c>
      <c r="E275">
        <v>-0.83825333386682299</v>
      </c>
      <c r="F275">
        <v>9.9194667178954398E-4</v>
      </c>
      <c r="G275">
        <v>4.62672162162917E-2</v>
      </c>
      <c r="H275">
        <v>0.54459774880273004</v>
      </c>
      <c r="I275">
        <v>-1.13500319494586E-2</v>
      </c>
    </row>
    <row r="276" spans="1:9" x14ac:dyDescent="0.25">
      <c r="A276">
        <v>59.071175158023799</v>
      </c>
      <c r="B276">
        <v>15.9369244130887</v>
      </c>
      <c r="C276">
        <v>4.12227455308311</v>
      </c>
      <c r="D276">
        <v>2.98702379529449</v>
      </c>
      <c r="E276">
        <v>-0.83257716492963396</v>
      </c>
      <c r="F276">
        <v>1.32488194912043E-3</v>
      </c>
      <c r="G276">
        <v>4.0107767589285297E-2</v>
      </c>
      <c r="H276">
        <v>0.53038666713140303</v>
      </c>
      <c r="I276">
        <v>-9.8587252281015E-3</v>
      </c>
    </row>
    <row r="277" spans="1:9" x14ac:dyDescent="0.25">
      <c r="A277">
        <v>65.375131070613804</v>
      </c>
      <c r="B277">
        <v>16.167665764931598</v>
      </c>
      <c r="C277">
        <v>3.7615363642089501</v>
      </c>
      <c r="D277">
        <v>2.6704393845826</v>
      </c>
      <c r="E277">
        <v>-0.82413528496769495</v>
      </c>
      <c r="F277">
        <v>1.4185076187430701E-3</v>
      </c>
      <c r="G277">
        <v>3.4692227092156497E-2</v>
      </c>
      <c r="H277">
        <v>0.51782298788701397</v>
      </c>
      <c r="I277">
        <v>-8.4869335245250001E-3</v>
      </c>
    </row>
    <row r="278" spans="1:9" x14ac:dyDescent="0.25">
      <c r="A278">
        <v>72.246375679969702</v>
      </c>
      <c r="B278">
        <v>16.3893074246682</v>
      </c>
      <c r="C278">
        <v>3.4443933272086702</v>
      </c>
      <c r="D278">
        <v>2.3970685414658099</v>
      </c>
      <c r="E278">
        <v>-0.81316072339166401</v>
      </c>
      <c r="F278">
        <v>1.0239945772716401E-3</v>
      </c>
      <c r="G278">
        <v>2.99664230206333E-2</v>
      </c>
      <c r="H278">
        <v>0.50656436859421905</v>
      </c>
      <c r="I278">
        <v>-7.2708710795761902E-3</v>
      </c>
    </row>
    <row r="279" spans="1:9" x14ac:dyDescent="0.25">
      <c r="A279">
        <v>79.736069738864799</v>
      </c>
      <c r="B279">
        <v>16.603874162081599</v>
      </c>
      <c r="C279">
        <v>3.1641884458167602</v>
      </c>
      <c r="D279">
        <v>2.1607201580083202</v>
      </c>
      <c r="E279">
        <v>-0.799857674790734</v>
      </c>
      <c r="F279">
        <v>5.8468876414717705E-4</v>
      </c>
      <c r="G279">
        <v>2.5848576407696399E-2</v>
      </c>
      <c r="H279">
        <v>0.49594204515243101</v>
      </c>
      <c r="I279">
        <v>-6.2128301396418301E-3</v>
      </c>
    </row>
    <row r="280" spans="1:9" x14ac:dyDescent="0.25">
      <c r="A280">
        <v>87.899753153324099</v>
      </c>
      <c r="B280">
        <v>16.812790379170298</v>
      </c>
      <c r="C280">
        <v>2.91418979850277</v>
      </c>
      <c r="D280">
        <v>1.95522831140444</v>
      </c>
      <c r="E280">
        <v>-0.78423630574602099</v>
      </c>
      <c r="F280">
        <v>6.4502846959059001E-4</v>
      </c>
      <c r="G280">
        <v>2.2278190687413199E-2</v>
      </c>
      <c r="H280">
        <v>0.48575146831153998</v>
      </c>
      <c r="I280">
        <v>-5.3052452632497303E-3</v>
      </c>
    </row>
    <row r="281" spans="1:9" x14ac:dyDescent="0.25">
      <c r="A281">
        <v>96.798263192176805</v>
      </c>
      <c r="B281">
        <v>17.017409846428802</v>
      </c>
      <c r="C281">
        <v>2.6881320437951199</v>
      </c>
      <c r="D281">
        <v>1.7747037214280199</v>
      </c>
      <c r="E281">
        <v>-0.76618521300282205</v>
      </c>
      <c r="F281">
        <v>1.08916281850131E-3</v>
      </c>
      <c r="G281">
        <v>1.9198815191229901E-2</v>
      </c>
      <c r="H281">
        <v>0.47615609372294598</v>
      </c>
      <c r="I281">
        <v>-4.5344569706806098E-3</v>
      </c>
    </row>
    <row r="282" spans="1:9" x14ac:dyDescent="0.25">
      <c r="A282">
        <v>106.497616767883</v>
      </c>
      <c r="B282">
        <v>17.218756720665802</v>
      </c>
      <c r="C282">
        <v>2.4814089807477999</v>
      </c>
      <c r="D282">
        <v>1.61476673072442</v>
      </c>
      <c r="E282">
        <v>-0.74566598860458</v>
      </c>
      <c r="F282">
        <v>1.5029489818893401E-3</v>
      </c>
      <c r="G282">
        <v>1.65366336473615E-2</v>
      </c>
      <c r="H282">
        <v>0.46698935004113101</v>
      </c>
      <c r="I282">
        <v>-3.8768194844210802E-3</v>
      </c>
    </row>
    <row r="283" spans="1:9" x14ac:dyDescent="0.25">
      <c r="A283">
        <v>117.06990510225199</v>
      </c>
      <c r="B283">
        <v>17.417602062467498</v>
      </c>
      <c r="C283">
        <v>2.2903821930867698</v>
      </c>
      <c r="D283">
        <v>1.4717583869100599</v>
      </c>
      <c r="E283">
        <v>-0.722467606430368</v>
      </c>
      <c r="F283">
        <v>1.8810424388541001E-3</v>
      </c>
      <c r="G283">
        <v>1.4222641244567E-2</v>
      </c>
      <c r="H283">
        <v>0.45826695248525301</v>
      </c>
      <c r="I283">
        <v>-3.3081003823799602E-3</v>
      </c>
    </row>
    <row r="284" spans="1:9" x14ac:dyDescent="0.25">
      <c r="A284">
        <v>128.593670427799</v>
      </c>
      <c r="B284">
        <v>17.614652186874299</v>
      </c>
      <c r="C284">
        <v>2.1128558596956202</v>
      </c>
      <c r="D284">
        <v>1.3429016035350001</v>
      </c>
      <c r="E284">
        <v>-0.69647258003091495</v>
      </c>
      <c r="F284">
        <v>2.6023444444745599E-3</v>
      </c>
      <c r="G284">
        <v>1.22068306709245E-2</v>
      </c>
      <c r="H284">
        <v>0.44980838209338497</v>
      </c>
      <c r="I284">
        <v>-2.81662504350347E-3</v>
      </c>
    </row>
    <row r="285" spans="1:9" x14ac:dyDescent="0.25">
      <c r="A285">
        <v>141.15461230278001</v>
      </c>
      <c r="B285">
        <v>17.810413286332</v>
      </c>
      <c r="C285">
        <v>1.94573519818277</v>
      </c>
      <c r="D285">
        <v>1.2255366336137801</v>
      </c>
      <c r="E285">
        <v>-0.66734942288764698</v>
      </c>
      <c r="F285">
        <v>2.8104541579834202E-3</v>
      </c>
      <c r="G285">
        <v>1.0440822034226801E-2</v>
      </c>
      <c r="H285">
        <v>0.44157473074724002</v>
      </c>
      <c r="I285">
        <v>-2.3872822167454498E-3</v>
      </c>
    </row>
    <row r="286" spans="1:9" x14ac:dyDescent="0.25">
      <c r="A286">
        <v>154.84601140022201</v>
      </c>
      <c r="B286">
        <v>18.005085483435501</v>
      </c>
      <c r="C286">
        <v>1.7856870275863901</v>
      </c>
      <c r="D286">
        <v>1.11682380487511</v>
      </c>
      <c r="E286">
        <v>-0.63495076358844804</v>
      </c>
      <c r="F286">
        <v>2.3416938162409699E-3</v>
      </c>
      <c r="G286">
        <v>8.8912955762672705E-3</v>
      </c>
      <c r="H286">
        <v>0.43359851178326902</v>
      </c>
      <c r="I286">
        <v>-2.0112161316189099E-3</v>
      </c>
    </row>
    <row r="287" spans="1:9" x14ac:dyDescent="0.25">
      <c r="A287">
        <v>169.76969480514501</v>
      </c>
      <c r="B287">
        <v>18.199310347680001</v>
      </c>
      <c r="C287">
        <v>1.6317729373440599</v>
      </c>
      <c r="D287">
        <v>1.0149626895491699</v>
      </c>
      <c r="E287">
        <v>-0.59871443575546501</v>
      </c>
      <c r="F287">
        <v>2.34338056311682E-3</v>
      </c>
      <c r="G287">
        <v>7.5195837245534301E-3</v>
      </c>
      <c r="H287">
        <v>0.42578187720180499</v>
      </c>
      <c r="I287">
        <v>-1.6774359650462501E-3</v>
      </c>
    </row>
    <row r="288" spans="1:9" x14ac:dyDescent="0.25">
      <c r="A288">
        <v>186.03645980358101</v>
      </c>
      <c r="B288">
        <v>18.393011361602699</v>
      </c>
      <c r="C288">
        <v>1.48276843860912</v>
      </c>
      <c r="D288">
        <v>0.91875154014091698</v>
      </c>
      <c r="E288">
        <v>-0.55850062299469005</v>
      </c>
      <c r="F288">
        <v>2.9833920655478502E-3</v>
      </c>
      <c r="G288">
        <v>6.2936057168551801E-3</v>
      </c>
      <c r="H288">
        <v>0.41813493453474898</v>
      </c>
      <c r="I288">
        <v>-1.37925921060146E-3</v>
      </c>
    </row>
    <row r="289" spans="1:9" x14ac:dyDescent="0.25">
      <c r="A289">
        <v>203.76720398664401</v>
      </c>
      <c r="B289">
        <v>18.585641131047101</v>
      </c>
      <c r="C289">
        <v>1.3361440941707701</v>
      </c>
      <c r="D289">
        <v>0.82607825218583697</v>
      </c>
      <c r="E289">
        <v>-0.51396475138999198</v>
      </c>
      <c r="F289">
        <v>3.33034343115486E-3</v>
      </c>
      <c r="G289">
        <v>5.1897792364679904E-3</v>
      </c>
      <c r="H289">
        <v>0.41004041840511501</v>
      </c>
      <c r="I289">
        <v>-1.1093045286657099E-3</v>
      </c>
    </row>
    <row r="290" spans="1:9" x14ac:dyDescent="0.25">
      <c r="A290">
        <v>223.09376105666101</v>
      </c>
      <c r="B290">
        <v>18.776028350237699</v>
      </c>
      <c r="C290">
        <v>1.1890235117562</v>
      </c>
      <c r="D290">
        <v>0.73505835819413001</v>
      </c>
      <c r="E290">
        <v>-0.46453794845215701</v>
      </c>
      <c r="F290">
        <v>2.6437137148588499E-3</v>
      </c>
      <c r="G290">
        <v>4.2038614968040499E-3</v>
      </c>
      <c r="H290">
        <v>0.402548231315564</v>
      </c>
      <c r="I290">
        <v>-8.7135166526248499E-4</v>
      </c>
    </row>
    <row r="291" spans="1:9" x14ac:dyDescent="0.25">
      <c r="A291">
        <v>244.15970131754801</v>
      </c>
      <c r="B291">
        <v>18.962024644259401</v>
      </c>
      <c r="C291">
        <v>1.04200318445464</v>
      </c>
      <c r="D291">
        <v>0.645431101506034</v>
      </c>
      <c r="E291">
        <v>-0.40974561155288503</v>
      </c>
      <c r="F291">
        <v>2.4162194903398098E-3</v>
      </c>
      <c r="G291">
        <v>3.3229377786462202E-3</v>
      </c>
      <c r="H291">
        <v>0.39442126143801298</v>
      </c>
      <c r="I291">
        <v>-6.6132709152070201E-4</v>
      </c>
    </row>
    <row r="292" spans="1:9" x14ac:dyDescent="0.25">
      <c r="A292">
        <v>267.12157949805197</v>
      </c>
      <c r="B292">
        <v>19.139721736554002</v>
      </c>
      <c r="C292">
        <v>0.89566924636983403</v>
      </c>
      <c r="D292">
        <v>0.55500220943933598</v>
      </c>
      <c r="E292">
        <v>-0.34942858959365503</v>
      </c>
      <c r="F292">
        <v>2.2608544154268701E-3</v>
      </c>
      <c r="G292">
        <v>2.5587702511747001E-3</v>
      </c>
      <c r="H292">
        <v>0.386874632989536</v>
      </c>
      <c r="I292">
        <v>-4.85680440783358E-4</v>
      </c>
    </row>
    <row r="293" spans="1:9" x14ac:dyDescent="0.25">
      <c r="A293">
        <v>292.15002954006098</v>
      </c>
      <c r="B293">
        <v>19.305223122481198</v>
      </c>
      <c r="C293">
        <v>0.75226392119702701</v>
      </c>
      <c r="D293">
        <v>0.463849441200132</v>
      </c>
      <c r="E293">
        <v>-0.28234326123282699</v>
      </c>
      <c r="F293">
        <v>3.0326025339320602E-3</v>
      </c>
      <c r="G293">
        <v>1.92055223794018E-3</v>
      </c>
      <c r="H293">
        <v>0.381594349367404</v>
      </c>
      <c r="I293">
        <v>-3.4455705360998402E-4</v>
      </c>
    </row>
    <row r="294" spans="1:9" x14ac:dyDescent="0.25">
      <c r="A294">
        <v>319.43101242184599</v>
      </c>
      <c r="B294">
        <v>19.451954186204802</v>
      </c>
      <c r="C294">
        <v>0.61624277888085899</v>
      </c>
      <c r="D294">
        <v>0.37418847051246401</v>
      </c>
      <c r="E294">
        <v>-0.208666762595975</v>
      </c>
      <c r="F294">
        <v>3.6082989371051602E-3</v>
      </c>
      <c r="G294">
        <v>1.41392399766139E-3</v>
      </c>
      <c r="H294">
        <v>0.38064296810003201</v>
      </c>
      <c r="I294">
        <v>-2.4095845233998201E-4</v>
      </c>
    </row>
    <row r="295" spans="1:9" x14ac:dyDescent="0.25">
      <c r="A295">
        <v>349.16732590645501</v>
      </c>
      <c r="B295">
        <v>19.5667833539285</v>
      </c>
      <c r="C295">
        <v>0.50337159224795802</v>
      </c>
      <c r="D295">
        <v>0.29783629739102901</v>
      </c>
      <c r="E295">
        <v>-0.12703469856635499</v>
      </c>
      <c r="F295">
        <v>1.82295918062691E-3</v>
      </c>
      <c r="G295">
        <v>1.05524413605869E-3</v>
      </c>
      <c r="H295">
        <v>0.381834919262098</v>
      </c>
      <c r="I295">
        <v>-1.75943235940177E-4</v>
      </c>
    </row>
    <row r="296" spans="1:9" x14ac:dyDescent="0.25">
      <c r="A296">
        <v>379.83785875141598</v>
      </c>
      <c r="B296">
        <v>19.6270732286014</v>
      </c>
      <c r="C296">
        <v>0.440198312554684</v>
      </c>
      <c r="D296">
        <v>0.25604260627511899</v>
      </c>
      <c r="E296">
        <v>-4.20798973029246E-2</v>
      </c>
      <c r="F296" s="1">
        <v>1.07829460356043E-3</v>
      </c>
      <c r="G296">
        <v>8.7126137831699201E-4</v>
      </c>
      <c r="H296">
        <v>0.39862479052540301</v>
      </c>
      <c r="I296">
        <v>-1.41362006047929E-4</v>
      </c>
    </row>
    <row r="297" spans="1:9" x14ac:dyDescent="0.25">
      <c r="A297" t="s">
        <v>513</v>
      </c>
      <c r="B297" t="s">
        <v>473</v>
      </c>
      <c r="C297" t="s">
        <v>474</v>
      </c>
      <c r="D297" t="s">
        <v>475</v>
      </c>
      <c r="E297" t="s">
        <v>476</v>
      </c>
      <c r="F297" t="s">
        <v>477</v>
      </c>
      <c r="G297" t="s">
        <v>390</v>
      </c>
      <c r="H297" t="s">
        <v>478</v>
      </c>
      <c r="I297" t="s">
        <v>471</v>
      </c>
    </row>
    <row r="298" spans="1:9" x14ac:dyDescent="0.25">
      <c r="A298">
        <v>-141.555516719818</v>
      </c>
      <c r="B298">
        <v>-10.295854438641401</v>
      </c>
      <c r="C298">
        <v>2.0309283285513399E-2</v>
      </c>
      <c r="D298">
        <v>0</v>
      </c>
      <c r="E298">
        <v>0</v>
      </c>
      <c r="F298">
        <v>0</v>
      </c>
      <c r="G298" s="1">
        <v>8.1753582126253798E-6</v>
      </c>
      <c r="H298">
        <v>2.0336751971497199E-2</v>
      </c>
      <c r="I298">
        <v>0</v>
      </c>
    </row>
    <row r="299" spans="1:9" x14ac:dyDescent="0.25">
      <c r="A299">
        <v>-128.95890593528699</v>
      </c>
      <c r="B299">
        <v>-9.3796755416182194</v>
      </c>
      <c r="C299">
        <v>2.0588386105657702E-2</v>
      </c>
      <c r="D299">
        <v>0</v>
      </c>
      <c r="E299">
        <v>0</v>
      </c>
      <c r="F299">
        <v>0</v>
      </c>
      <c r="G299" s="1">
        <v>9.8086119315610092E-6</v>
      </c>
      <c r="H299">
        <v>0.14668058510927401</v>
      </c>
      <c r="I299">
        <v>0</v>
      </c>
    </row>
    <row r="300" spans="1:9" x14ac:dyDescent="0.25">
      <c r="A300">
        <v>-117.402367591857</v>
      </c>
      <c r="B300">
        <v>-8.5391444569316999</v>
      </c>
      <c r="C300">
        <v>2.1123871599471E-2</v>
      </c>
      <c r="D300">
        <v>0</v>
      </c>
      <c r="E300">
        <v>0</v>
      </c>
      <c r="F300">
        <v>0</v>
      </c>
      <c r="G300" s="1">
        <v>1.29036535589932E-5</v>
      </c>
      <c r="H300">
        <v>0.29597152764940399</v>
      </c>
      <c r="I300">
        <v>0</v>
      </c>
    </row>
    <row r="301" spans="1:9" x14ac:dyDescent="0.25">
      <c r="A301">
        <v>-106.80001378059301</v>
      </c>
      <c r="B301">
        <v>-7.7680176539210004</v>
      </c>
      <c r="C301">
        <v>2.1922606585889001E-2</v>
      </c>
      <c r="D301">
        <v>0</v>
      </c>
      <c r="E301">
        <v>0</v>
      </c>
      <c r="F301">
        <v>0</v>
      </c>
      <c r="G301" s="1">
        <v>1.7450945337671401E-5</v>
      </c>
      <c r="H301">
        <v>0.41538089552609497</v>
      </c>
      <c r="I301">
        <v>0</v>
      </c>
    </row>
    <row r="302" spans="1:9" x14ac:dyDescent="0.25">
      <c r="A302">
        <v>-97.073161005973802</v>
      </c>
      <c r="B302">
        <v>-7.0605622088400102</v>
      </c>
      <c r="C302">
        <v>2.3004096200907001E-2</v>
      </c>
      <c r="D302">
        <v>0</v>
      </c>
      <c r="E302">
        <v>0</v>
      </c>
      <c r="F302">
        <v>0</v>
      </c>
      <c r="G302" s="1">
        <v>2.3592776976499799E-5</v>
      </c>
      <c r="H302">
        <v>0.49949114157413199</v>
      </c>
      <c r="I302">
        <v>0</v>
      </c>
    </row>
    <row r="303" spans="1:9" x14ac:dyDescent="0.25">
      <c r="A303">
        <v>-88.149435520172105</v>
      </c>
      <c r="B303">
        <v>-6.4115219605950102</v>
      </c>
      <c r="C303">
        <v>2.43923709849269E-2</v>
      </c>
      <c r="D303">
        <v>0</v>
      </c>
      <c r="E303">
        <v>0</v>
      </c>
      <c r="F303">
        <v>0</v>
      </c>
      <c r="G303" s="1">
        <v>3.1610743951304597E-5</v>
      </c>
      <c r="H303">
        <v>0.556484333267936</v>
      </c>
      <c r="I303">
        <v>0</v>
      </c>
    </row>
    <row r="304" spans="1:9" x14ac:dyDescent="0.25">
      <c r="A304">
        <v>-79.962490797042804</v>
      </c>
      <c r="B304">
        <v>-5.8160718945649803</v>
      </c>
      <c r="C304">
        <v>2.6112366115782399E-2</v>
      </c>
      <c r="D304">
        <v>0</v>
      </c>
      <c r="E304">
        <v>0</v>
      </c>
      <c r="F304">
        <v>0</v>
      </c>
      <c r="G304" s="1">
        <v>4.19292218722944E-5</v>
      </c>
      <c r="H304">
        <v>0.59489801105560103</v>
      </c>
      <c r="I304">
        <v>0</v>
      </c>
    </row>
    <row r="305" spans="1:9" x14ac:dyDescent="0.25">
      <c r="A305">
        <v>-72.451583743095298</v>
      </c>
      <c r="B305">
        <v>-5.2697872413185802</v>
      </c>
      <c r="C305">
        <v>2.8188639839043999E-2</v>
      </c>
      <c r="D305">
        <v>0</v>
      </c>
      <c r="E305">
        <v>0</v>
      </c>
      <c r="F305">
        <v>0</v>
      </c>
      <c r="G305" s="1">
        <v>5.5131960561283202E-5</v>
      </c>
      <c r="H305">
        <v>0.62103560174430394</v>
      </c>
      <c r="I305">
        <v>0</v>
      </c>
    </row>
    <row r="306" spans="1:9" x14ac:dyDescent="0.25">
      <c r="A306">
        <v>-65.560821294784503</v>
      </c>
      <c r="B306">
        <v>-4.7686081608620796</v>
      </c>
      <c r="C306">
        <v>3.0645173915644301E-2</v>
      </c>
      <c r="D306">
        <v>0</v>
      </c>
      <c r="E306">
        <v>0</v>
      </c>
      <c r="F306">
        <v>0</v>
      </c>
      <c r="G306" s="1">
        <v>7.1991321206610296E-5</v>
      </c>
      <c r="H306">
        <v>0.63916387589489698</v>
      </c>
      <c r="I306">
        <v>0</v>
      </c>
    </row>
    <row r="307" spans="1:9" x14ac:dyDescent="0.25">
      <c r="A307">
        <v>-59.238972067832897</v>
      </c>
      <c r="B307">
        <v>-4.3088117843357301</v>
      </c>
      <c r="C307">
        <v>3.3505686253931702E-2</v>
      </c>
      <c r="D307">
        <v>0</v>
      </c>
      <c r="E307">
        <v>0</v>
      </c>
      <c r="F307">
        <v>0</v>
      </c>
      <c r="G307" s="1">
        <v>9.3509980327866006E-5</v>
      </c>
      <c r="H307">
        <v>0.65210088414097001</v>
      </c>
      <c r="I307">
        <v>0</v>
      </c>
    </row>
    <row r="308" spans="1:9" x14ac:dyDescent="0.25">
      <c r="A308">
        <v>-53.439136743545497</v>
      </c>
      <c r="B308">
        <v>-3.8869798412410002</v>
      </c>
      <c r="C308">
        <v>3.6794132007855702E-2</v>
      </c>
      <c r="D308">
        <v>0</v>
      </c>
      <c r="E308">
        <v>0</v>
      </c>
      <c r="F308">
        <v>0</v>
      </c>
      <c r="G308">
        <v>1.20974527302308E-4</v>
      </c>
      <c r="H308">
        <v>0.66169431968468995</v>
      </c>
      <c r="I308">
        <v>0</v>
      </c>
    </row>
    <row r="309" spans="1:9" x14ac:dyDescent="0.25">
      <c r="A309">
        <v>-48.118183016777003</v>
      </c>
      <c r="B309">
        <v>-3.4999780585852802</v>
      </c>
      <c r="C309">
        <v>4.0535206892400297E-2</v>
      </c>
      <c r="D309">
        <v>0</v>
      </c>
      <c r="E309">
        <v>0</v>
      </c>
      <c r="F309">
        <v>0</v>
      </c>
      <c r="G309">
        <v>1.5602016947724399E-4</v>
      </c>
      <c r="H309">
        <v>0.66914924481882398</v>
      </c>
      <c r="I309">
        <v>0</v>
      </c>
    </row>
    <row r="310" spans="1:9" x14ac:dyDescent="0.25">
      <c r="A310">
        <v>-43.236604332923797</v>
      </c>
      <c r="B310">
        <v>-3.14493114555752</v>
      </c>
      <c r="C310">
        <v>4.4754790633305598E-2</v>
      </c>
      <c r="D310">
        <v>0</v>
      </c>
      <c r="E310">
        <v>0</v>
      </c>
      <c r="F310">
        <v>0</v>
      </c>
      <c r="G310">
        <v>2.0070464060495299E-4</v>
      </c>
      <c r="H310">
        <v>0.67524473264385798</v>
      </c>
      <c r="I310">
        <v>0</v>
      </c>
    </row>
    <row r="311" spans="1:9" x14ac:dyDescent="0.25">
      <c r="A311">
        <v>-38.758049011230398</v>
      </c>
      <c r="B311">
        <v>-2.8191992496935101</v>
      </c>
      <c r="C311">
        <v>4.9480261816370302E-2</v>
      </c>
      <c r="D311">
        <v>0</v>
      </c>
      <c r="E311">
        <v>0</v>
      </c>
      <c r="F311">
        <v>0</v>
      </c>
      <c r="G311">
        <v>2.5758845392687097E-4</v>
      </c>
      <c r="H311">
        <v>0.680478070393426</v>
      </c>
      <c r="I311">
        <v>0</v>
      </c>
    </row>
    <row r="312" spans="1:9" x14ac:dyDescent="0.25">
      <c r="A312">
        <v>-34.649320244789102</v>
      </c>
      <c r="B312">
        <v>-2.5203632419792301</v>
      </c>
      <c r="C312">
        <v>5.4740595446389699E-2</v>
      </c>
      <c r="D312">
        <v>0</v>
      </c>
      <c r="E312">
        <v>0</v>
      </c>
      <c r="F312">
        <v>0</v>
      </c>
      <c r="G312">
        <v>3.29817163802204E-4</v>
      </c>
      <c r="H312">
        <v>0.68516198656095995</v>
      </c>
      <c r="I312">
        <v>0</v>
      </c>
    </row>
    <row r="313" spans="1:9" x14ac:dyDescent="0.25">
      <c r="A313">
        <v>-30.879811048507602</v>
      </c>
      <c r="B313">
        <v>-2.2462011730161802</v>
      </c>
      <c r="C313">
        <v>6.0566287560703799E-2</v>
      </c>
      <c r="D313">
        <v>0</v>
      </c>
      <c r="E313">
        <v>0</v>
      </c>
      <c r="F313">
        <v>0</v>
      </c>
      <c r="G313">
        <v>4.2119876837887199E-4</v>
      </c>
      <c r="H313">
        <v>0.68949094281380796</v>
      </c>
      <c r="I313">
        <v>0</v>
      </c>
    </row>
    <row r="314" spans="1:9" x14ac:dyDescent="0.25">
      <c r="A314">
        <v>-27.4215984344482</v>
      </c>
      <c r="B314">
        <v>-1.99467650110399</v>
      </c>
      <c r="C314">
        <v>6.6988956124447399E-2</v>
      </c>
      <c r="D314">
        <v>0</v>
      </c>
      <c r="E314">
        <v>0</v>
      </c>
      <c r="F314">
        <v>0</v>
      </c>
      <c r="G314">
        <v>5.3626718099053505E-4</v>
      </c>
      <c r="H314">
        <v>0.69358548932451203</v>
      </c>
      <c r="I314">
        <v>0</v>
      </c>
    </row>
    <row r="315" spans="1:9" x14ac:dyDescent="0.25">
      <c r="A315">
        <v>-24.248878359794599</v>
      </c>
      <c r="B315">
        <v>-1.7639204343644299</v>
      </c>
      <c r="C315">
        <v>7.4040711331946299E-2</v>
      </c>
      <c r="D315">
        <v>0</v>
      </c>
      <c r="E315">
        <v>0</v>
      </c>
      <c r="F315">
        <v>0</v>
      </c>
      <c r="G315">
        <v>6.8032093139436202E-4</v>
      </c>
      <c r="H315">
        <v>0.69752164332330902</v>
      </c>
      <c r="I315">
        <v>0</v>
      </c>
    </row>
    <row r="316" spans="1:9" x14ac:dyDescent="0.25">
      <c r="A316">
        <v>-21.3381540775299</v>
      </c>
      <c r="B316">
        <v>-1.55221721584474</v>
      </c>
      <c r="C316">
        <v>8.1753211058810296E-2</v>
      </c>
      <c r="D316">
        <v>0</v>
      </c>
      <c r="E316">
        <v>0</v>
      </c>
      <c r="F316">
        <v>0</v>
      </c>
      <c r="G316">
        <v>8.5942446901299198E-4</v>
      </c>
      <c r="H316">
        <v>0.70134877609216095</v>
      </c>
      <c r="I316">
        <v>0</v>
      </c>
    </row>
    <row r="317" spans="1:9" x14ac:dyDescent="0.25">
      <c r="A317">
        <v>-18.6677181720733</v>
      </c>
      <c r="B317">
        <v>-1.35799382308995</v>
      </c>
      <c r="C317">
        <v>9.0156414768216495E-2</v>
      </c>
      <c r="D317">
        <v>0</v>
      </c>
      <c r="E317">
        <v>0</v>
      </c>
      <c r="F317">
        <v>0</v>
      </c>
      <c r="G317">
        <v>1.0803596308050999E-3</v>
      </c>
      <c r="H317">
        <v>0.70510017674196901</v>
      </c>
      <c r="I317">
        <v>0</v>
      </c>
    </row>
    <row r="318" spans="1:9" x14ac:dyDescent="0.25">
      <c r="A318">
        <v>-16.2178409099578</v>
      </c>
      <c r="B318">
        <v>-1.1798067247358499</v>
      </c>
      <c r="C318">
        <v>9.9277137864817094E-2</v>
      </c>
      <c r="D318">
        <v>0</v>
      </c>
      <c r="E318">
        <v>0</v>
      </c>
      <c r="F318">
        <v>0</v>
      </c>
      <c r="G318">
        <v>1.3505181851769499E-3</v>
      </c>
      <c r="H318">
        <v>0.70879873013823602</v>
      </c>
      <c r="I318">
        <v>0</v>
      </c>
    </row>
    <row r="319" spans="1:9" x14ac:dyDescent="0.25">
      <c r="A319">
        <v>-13.9702051877975</v>
      </c>
      <c r="B319">
        <v>-1.0163330515710101</v>
      </c>
      <c r="C319">
        <v>0.109137348847809</v>
      </c>
      <c r="D319">
        <v>0</v>
      </c>
      <c r="E319">
        <v>0</v>
      </c>
      <c r="F319">
        <v>0</v>
      </c>
      <c r="G319">
        <v>1.67773207294885E-3</v>
      </c>
      <c r="H319">
        <v>0.71246005835988002</v>
      </c>
      <c r="I319">
        <v>0</v>
      </c>
    </row>
    <row r="320" spans="1:9" x14ac:dyDescent="0.25">
      <c r="A320">
        <v>-11.908189058303799</v>
      </c>
      <c r="B320">
        <v>-0.86635735312974305</v>
      </c>
      <c r="C320">
        <v>0.119752435422526</v>
      </c>
      <c r="D320">
        <v>0</v>
      </c>
      <c r="E320">
        <v>0</v>
      </c>
      <c r="F320">
        <v>0</v>
      </c>
      <c r="G320">
        <v>2.0700459845102099E-3</v>
      </c>
      <c r="H320">
        <v>0.71609480718927498</v>
      </c>
      <c r="I320">
        <v>0</v>
      </c>
    </row>
    <row r="321" spans="1:9" x14ac:dyDescent="0.25">
      <c r="A321">
        <v>-10.016394853591899</v>
      </c>
      <c r="B321">
        <v>-0.72876424024379105</v>
      </c>
      <c r="C321">
        <v>0.13112946617752599</v>
      </c>
      <c r="D321">
        <v>0</v>
      </c>
      <c r="E321">
        <v>0</v>
      </c>
      <c r="F321">
        <v>0</v>
      </c>
      <c r="G321">
        <v>2.5354502895424901E-3</v>
      </c>
      <c r="H321">
        <v>0.71971074452389205</v>
      </c>
      <c r="I321">
        <v>0</v>
      </c>
    </row>
    <row r="322" spans="1:9" x14ac:dyDescent="0.25">
      <c r="A322">
        <v>-8.2808375358581507</v>
      </c>
      <c r="B322">
        <v>-0.60253176333880198</v>
      </c>
      <c r="C322">
        <v>0.14326558529660299</v>
      </c>
      <c r="D322">
        <v>0</v>
      </c>
      <c r="E322">
        <v>0</v>
      </c>
      <c r="F322">
        <v>0</v>
      </c>
      <c r="G322">
        <v>3.0815973991593598E-3</v>
      </c>
      <c r="H322">
        <v>0.72331499405243804</v>
      </c>
      <c r="I322">
        <v>0</v>
      </c>
    </row>
    <row r="323" spans="1:9" x14ac:dyDescent="0.25">
      <c r="A323">
        <v>-6.6885209083557102</v>
      </c>
      <c r="B323">
        <v>-0.48672331924116402</v>
      </c>
      <c r="C323">
        <v>0.15614682411353401</v>
      </c>
      <c r="D323">
        <v>0</v>
      </c>
      <c r="E323">
        <v>0</v>
      </c>
      <c r="F323">
        <v>0</v>
      </c>
      <c r="G323">
        <v>3.7155603729388501E-3</v>
      </c>
      <c r="H323">
        <v>0.72691782415353501</v>
      </c>
      <c r="I323">
        <v>0</v>
      </c>
    </row>
    <row r="324" spans="1:9" x14ac:dyDescent="0.25">
      <c r="A324">
        <v>-5.2277201414108196</v>
      </c>
      <c r="B324">
        <v>-0.38047587926065701</v>
      </c>
      <c r="C324">
        <v>0.169747231950623</v>
      </c>
      <c r="D324">
        <v>0</v>
      </c>
      <c r="E324">
        <v>0</v>
      </c>
      <c r="F324">
        <v>0</v>
      </c>
      <c r="G324">
        <v>4.44353232865069E-3</v>
      </c>
      <c r="H324">
        <v>0.73052768350544095</v>
      </c>
      <c r="I324">
        <v>0</v>
      </c>
    </row>
    <row r="325" spans="1:9" x14ac:dyDescent="0.25">
      <c r="A325">
        <v>-3.88755798339843</v>
      </c>
      <c r="B325">
        <v>-0.283002196424959</v>
      </c>
      <c r="C325">
        <v>0.18402883177373</v>
      </c>
      <c r="D325">
        <v>0</v>
      </c>
      <c r="E325">
        <v>0</v>
      </c>
      <c r="F325">
        <v>0</v>
      </c>
      <c r="G325">
        <v>5.2712850356329E-3</v>
      </c>
      <c r="H325">
        <v>0.73418544933783703</v>
      </c>
      <c r="I325">
        <v>0</v>
      </c>
    </row>
    <row r="326" spans="1:9" x14ac:dyDescent="0.25">
      <c r="A326">
        <v>-2.6580518484115601</v>
      </c>
      <c r="B326">
        <v>-0.19357609058296499</v>
      </c>
      <c r="C326">
        <v>0.19894144281238299</v>
      </c>
      <c r="D326">
        <v>0</v>
      </c>
      <c r="E326">
        <v>0</v>
      </c>
      <c r="F326">
        <v>0</v>
      </c>
      <c r="G326">
        <v>6.2021488270147503E-3</v>
      </c>
      <c r="H326">
        <v>0.73786021989246797</v>
      </c>
      <c r="I326">
        <v>0</v>
      </c>
    </row>
    <row r="327" spans="1:9" x14ac:dyDescent="0.25">
      <c r="A327">
        <v>-1.5300196409225399</v>
      </c>
      <c r="B327">
        <v>-0.11153391989445501</v>
      </c>
      <c r="C327">
        <v>0.21442443662067401</v>
      </c>
      <c r="D327">
        <v>0</v>
      </c>
      <c r="E327">
        <v>0</v>
      </c>
      <c r="F327">
        <v>0</v>
      </c>
      <c r="G327">
        <v>7.23862543281939E-3</v>
      </c>
      <c r="H327">
        <v>0.74155693144698598</v>
      </c>
      <c r="I327">
        <v>0</v>
      </c>
    </row>
    <row r="328" spans="1:9" x14ac:dyDescent="0.25">
      <c r="A328">
        <v>-0.49517393112182601</v>
      </c>
      <c r="B328">
        <v>-3.62664876369223E-2</v>
      </c>
      <c r="C328">
        <v>0.23040881242195599</v>
      </c>
      <c r="D328">
        <v>0</v>
      </c>
      <c r="E328">
        <v>0</v>
      </c>
      <c r="F328">
        <v>0</v>
      </c>
      <c r="G328">
        <v>8.3797964680343198E-3</v>
      </c>
      <c r="H328">
        <v>0.74521445461977898</v>
      </c>
      <c r="I328">
        <v>0</v>
      </c>
    </row>
    <row r="329" spans="1:9" x14ac:dyDescent="0.25">
      <c r="A329">
        <v>0.49376130104064903</v>
      </c>
      <c r="B329">
        <v>0.49349333663904799</v>
      </c>
      <c r="C329">
        <v>0.3872707435562</v>
      </c>
      <c r="D329">
        <v>9.9367598852072095E-2</v>
      </c>
      <c r="E329">
        <v>-1.7730645550298701E-4</v>
      </c>
      <c r="F329" s="1">
        <v>6.6760054777185098E-5</v>
      </c>
      <c r="G329">
        <v>0.13095268577247299</v>
      </c>
      <c r="H329">
        <v>0.996212165647264</v>
      </c>
      <c r="I329" s="1">
        <v>5.6239794844359303E-7</v>
      </c>
    </row>
    <row r="330" spans="1:9" x14ac:dyDescent="0.25">
      <c r="A330">
        <v>1.5257111191749499</v>
      </c>
      <c r="B330">
        <v>1.52409012002372</v>
      </c>
      <c r="C330">
        <v>0.90533943027821795</v>
      </c>
      <c r="D330">
        <v>0.52656258028603198</v>
      </c>
      <c r="E330">
        <v>-2.6585664803253899E-3</v>
      </c>
      <c r="F330">
        <v>3.6498689851737799E-4</v>
      </c>
      <c r="G330">
        <v>0.137781553782823</v>
      </c>
      <c r="H330">
        <v>0.98910114292809304</v>
      </c>
      <c r="I330" s="1">
        <v>2.2875882400673899E-5</v>
      </c>
    </row>
    <row r="331" spans="1:9" x14ac:dyDescent="0.25">
      <c r="A331">
        <v>2.6505178213119498</v>
      </c>
      <c r="B331">
        <v>2.63919896950447</v>
      </c>
      <c r="C331">
        <v>1.78837099815609</v>
      </c>
      <c r="D331">
        <v>1.32572771176766</v>
      </c>
      <c r="E331">
        <v>-1.3659880696315199E-2</v>
      </c>
      <c r="F331">
        <v>8.89946135297677E-4</v>
      </c>
      <c r="G331">
        <v>0.141404044645524</v>
      </c>
      <c r="H331">
        <v>0.97669872708646699</v>
      </c>
      <c r="I331">
        <v>1.3190039183818701E-4</v>
      </c>
    </row>
    <row r="332" spans="1:9" x14ac:dyDescent="0.25">
      <c r="A332">
        <v>3.8765159249305698</v>
      </c>
      <c r="B332">
        <v>3.8298607202383201</v>
      </c>
      <c r="C332">
        <v>3.0741543876956698</v>
      </c>
      <c r="D332">
        <v>2.5343130677447898</v>
      </c>
      <c r="E332">
        <v>-4.0615048340450502E-2</v>
      </c>
      <c r="F332">
        <v>1.58898233173981E-3</v>
      </c>
      <c r="G332">
        <v>0.13944710942278801</v>
      </c>
      <c r="H332">
        <v>0.95700521038904796</v>
      </c>
      <c r="I332">
        <v>3.41915524280212E-4</v>
      </c>
    </row>
    <row r="333" spans="1:9" x14ac:dyDescent="0.25">
      <c r="A333">
        <v>5.2129346132278398</v>
      </c>
      <c r="B333">
        <v>5.0734644619884497</v>
      </c>
      <c r="C333">
        <v>4.6994420325063402</v>
      </c>
      <c r="D333">
        <v>4.0866571679835202</v>
      </c>
      <c r="E333">
        <v>-9.0330621345742601E-2</v>
      </c>
      <c r="F333">
        <v>2.3195409040942601E-3</v>
      </c>
      <c r="G333">
        <v>0.13224575359618601</v>
      </c>
      <c r="H333">
        <v>0.927925509439261</v>
      </c>
      <c r="I333">
        <v>7.41448087757127E-4</v>
      </c>
    </row>
    <row r="334" spans="1:9" x14ac:dyDescent="0.25">
      <c r="A334">
        <v>6.6695916652679399</v>
      </c>
      <c r="B334">
        <v>6.3328962823512498</v>
      </c>
      <c r="C334">
        <v>6.4666457918974602</v>
      </c>
      <c r="D334">
        <v>5.7802103599152197</v>
      </c>
      <c r="E334">
        <v>-0.16471360123124501</v>
      </c>
      <c r="F334">
        <v>2.8876329894988498E-3</v>
      </c>
      <c r="G334">
        <v>0.124090876196086</v>
      </c>
      <c r="H334">
        <v>0.89069223243792195</v>
      </c>
      <c r="I334">
        <v>1.9860750549018898E-3</v>
      </c>
    </row>
    <row r="335" spans="1:9" x14ac:dyDescent="0.25">
      <c r="A335">
        <v>8.2573878765106201</v>
      </c>
      <c r="B335">
        <v>7.5622446000712502</v>
      </c>
      <c r="C335">
        <v>8.0950130353812693</v>
      </c>
      <c r="D335">
        <v>7.3291101451212102</v>
      </c>
      <c r="E335">
        <v>-0.25828949269896301</v>
      </c>
      <c r="F335">
        <v>3.1564430606969402E-3</v>
      </c>
      <c r="G335">
        <v>0.12005706713894</v>
      </c>
      <c r="H335">
        <v>0.85294188000038196</v>
      </c>
      <c r="I335">
        <v>5.4921570944181097E-3</v>
      </c>
    </row>
    <row r="336" spans="1:9" x14ac:dyDescent="0.25">
      <c r="A336">
        <v>9.9880245327949506</v>
      </c>
      <c r="B336">
        <v>8.7180844674954692</v>
      </c>
      <c r="C336">
        <v>9.3413863031855708</v>
      </c>
      <c r="D336">
        <v>8.4880572667451801</v>
      </c>
      <c r="E336">
        <v>-0.36001235815008598</v>
      </c>
      <c r="F336">
        <v>3.1264932045495701E-3</v>
      </c>
      <c r="G336">
        <v>0.121508135618363</v>
      </c>
      <c r="H336">
        <v>0.822433327172574</v>
      </c>
      <c r="I336">
        <v>1.08728976435396E-2</v>
      </c>
    </row>
    <row r="337" spans="1:9" x14ac:dyDescent="0.25">
      <c r="A337">
        <v>11.874474287032999</v>
      </c>
      <c r="B337">
        <v>9.7703958399730304</v>
      </c>
      <c r="C337">
        <v>10.0943835128418</v>
      </c>
      <c r="D337">
        <v>9.1478961973819501</v>
      </c>
      <c r="E337">
        <v>-0.45844185588777397</v>
      </c>
      <c r="F337">
        <v>2.9269042469754099E-3</v>
      </c>
      <c r="G337">
        <v>0.12561455276893399</v>
      </c>
      <c r="H337">
        <v>0.79907380058444799</v>
      </c>
      <c r="I337">
        <v>1.38851055450864E-2</v>
      </c>
    </row>
    <row r="338" spans="1:9" x14ac:dyDescent="0.25">
      <c r="A338">
        <v>13.9306750893592</v>
      </c>
      <c r="B338">
        <v>10.706704255812401</v>
      </c>
      <c r="C338">
        <v>10.375849352385501</v>
      </c>
      <c r="D338">
        <v>9.3362813597905205</v>
      </c>
      <c r="E338">
        <v>-0.54594341831299398</v>
      </c>
      <c r="F338">
        <v>2.72201897682377E-3</v>
      </c>
      <c r="G338">
        <v>0.12843840470039999</v>
      </c>
      <c r="H338">
        <v>0.77860036260519605</v>
      </c>
      <c r="I338">
        <v>1.15524680441715E-2</v>
      </c>
    </row>
    <row r="339" spans="1:9" x14ac:dyDescent="0.25">
      <c r="A339">
        <v>16.171883344650201</v>
      </c>
      <c r="B339">
        <v>11.528908813256299</v>
      </c>
      <c r="C339">
        <v>10.2814253548785</v>
      </c>
      <c r="D339">
        <v>9.1560575942593907</v>
      </c>
      <c r="E339">
        <v>-0.61942767154359901</v>
      </c>
      <c r="F339">
        <v>2.58901367870226E-3</v>
      </c>
      <c r="G339">
        <v>0.12765502573895199</v>
      </c>
      <c r="H339">
        <v>0.75799760017948004</v>
      </c>
      <c r="I339">
        <v>5.3234745806130497E-3</v>
      </c>
    </row>
    <row r="340" spans="1:9" x14ac:dyDescent="0.25">
      <c r="A340">
        <v>18.614838719367899</v>
      </c>
      <c r="B340">
        <v>12.247141629727199</v>
      </c>
      <c r="C340">
        <v>9.9224515992318594</v>
      </c>
      <c r="D340">
        <v>8.7248014566753707</v>
      </c>
      <c r="E340">
        <v>-0.67891156625676996</v>
      </c>
      <c r="F340">
        <v>2.4680199592970299E-3</v>
      </c>
      <c r="G340">
        <v>0.123096165899082</v>
      </c>
      <c r="H340">
        <v>0.73621533906932501</v>
      </c>
      <c r="I340">
        <v>-1.77888219720108E-3</v>
      </c>
    </row>
    <row r="341" spans="1:9" x14ac:dyDescent="0.25">
      <c r="A341">
        <v>21.2777170538902</v>
      </c>
      <c r="B341">
        <v>12.8746097934568</v>
      </c>
      <c r="C341">
        <v>9.3955884885872294</v>
      </c>
      <c r="D341">
        <v>8.1429588716376298</v>
      </c>
      <c r="E341">
        <v>-0.72586435526662396</v>
      </c>
      <c r="F341">
        <v>2.2777284112707099E-3</v>
      </c>
      <c r="G341">
        <v>0.11581805196032301</v>
      </c>
      <c r="H341">
        <v>0.71324679191235596</v>
      </c>
      <c r="I341">
        <v>-7.80127758548896E-3</v>
      </c>
    </row>
    <row r="342" spans="1:9" x14ac:dyDescent="0.25">
      <c r="A342">
        <v>24.180224537849401</v>
      </c>
      <c r="B342">
        <v>13.4246496883357</v>
      </c>
      <c r="C342">
        <v>8.7747861241950798</v>
      </c>
      <c r="D342">
        <v>7.4855594946757904</v>
      </c>
      <c r="E342">
        <v>-0.76215938167729602</v>
      </c>
      <c r="F342">
        <v>1.99861930522563E-3</v>
      </c>
      <c r="G342">
        <v>0.107061038485947</v>
      </c>
      <c r="H342">
        <v>0.68951033357060199</v>
      </c>
      <c r="I342">
        <v>-1.21189943058923E-2</v>
      </c>
    </row>
    <row r="343" spans="1:9" x14ac:dyDescent="0.25">
      <c r="A343">
        <v>27.343950867652801</v>
      </c>
      <c r="B343">
        <v>13.9094795989009</v>
      </c>
      <c r="C343">
        <v>8.1132476879247406</v>
      </c>
      <c r="D343">
        <v>6.8048081102415701</v>
      </c>
      <c r="E343">
        <v>-0.78960060854668501</v>
      </c>
      <c r="F343">
        <v>1.5914422157263599E-3</v>
      </c>
      <c r="G343">
        <v>9.7754228716271499E-2</v>
      </c>
      <c r="H343">
        <v>0.66555853292211997</v>
      </c>
      <c r="I343">
        <v>-1.48072529018933E-2</v>
      </c>
    </row>
    <row r="344" spans="1:9" x14ac:dyDescent="0.25">
      <c r="A344">
        <v>30.7923927903175</v>
      </c>
      <c r="B344">
        <v>14.339850780474601</v>
      </c>
      <c r="C344">
        <v>7.4477592143921303</v>
      </c>
      <c r="D344">
        <v>6.1353312290854003</v>
      </c>
      <c r="E344">
        <v>-0.80975525137308002</v>
      </c>
      <c r="F344">
        <v>1.06304020164143E-3</v>
      </c>
      <c r="G344">
        <v>8.8449478352006894E-2</v>
      </c>
      <c r="H344">
        <v>0.64195860936721405</v>
      </c>
      <c r="I344">
        <v>-1.6149936890355401E-2</v>
      </c>
    </row>
    <row r="345" spans="1:9" x14ac:dyDescent="0.25">
      <c r="A345">
        <v>34.551213085651298</v>
      </c>
      <c r="B345">
        <v>14.7250218460472</v>
      </c>
      <c r="C345">
        <v>6.8026748203919798</v>
      </c>
      <c r="D345">
        <v>5.4990319874046296</v>
      </c>
      <c r="E345">
        <v>-0.823944198620152</v>
      </c>
      <c r="F345">
        <v>5.5649546853776897E-4</v>
      </c>
      <c r="G345">
        <v>7.9421884396340806E-2</v>
      </c>
      <c r="H345">
        <v>0.61923752144264999</v>
      </c>
      <c r="I345">
        <v>-1.6443906205591701E-2</v>
      </c>
    </row>
    <row r="346" spans="1:9" x14ac:dyDescent="0.25">
      <c r="A346">
        <v>38.6483111977577</v>
      </c>
      <c r="B346">
        <v>15.0728709673645</v>
      </c>
      <c r="C346">
        <v>6.1932452030305196</v>
      </c>
      <c r="D346">
        <v>4.9087653085995004</v>
      </c>
      <c r="E346">
        <v>-0.83320326397538502</v>
      </c>
      <c r="F346">
        <v>2.5624958953181503E-4</v>
      </c>
      <c r="G346">
        <v>7.0787893830204396E-2</v>
      </c>
      <c r="H346">
        <v>0.59781679382502795</v>
      </c>
      <c r="I346">
        <v>-1.59424997414318E-2</v>
      </c>
    </row>
    <row r="347" spans="1:9" x14ac:dyDescent="0.25">
      <c r="A347">
        <v>43.1141293048858</v>
      </c>
      <c r="B347">
        <v>15.390058658471901</v>
      </c>
      <c r="C347">
        <v>5.6281457998011302</v>
      </c>
      <c r="D347">
        <v>4.3710139709927702</v>
      </c>
      <c r="E347">
        <v>-0.83829667291814802</v>
      </c>
      <c r="F347">
        <v>2.01014397882954E-4</v>
      </c>
      <c r="G347">
        <v>6.2630512937923696E-2</v>
      </c>
      <c r="H347">
        <v>0.57803275995946402</v>
      </c>
      <c r="I347">
        <v>-1.4889562276151E-2</v>
      </c>
    </row>
    <row r="348" spans="1:9" x14ac:dyDescent="0.25">
      <c r="A348">
        <v>47.981887757778097</v>
      </c>
      <c r="B348">
        <v>15.6822141030939</v>
      </c>
      <c r="C348">
        <v>5.11139759992147</v>
      </c>
      <c r="D348">
        <v>3.8880365863062001</v>
      </c>
      <c r="E348">
        <v>-0.839746379704569</v>
      </c>
      <c r="F348">
        <v>2.9201076998930202E-4</v>
      </c>
      <c r="G348">
        <v>5.5028663578751399E-2</v>
      </c>
      <c r="H348">
        <v>0.56013521473355898</v>
      </c>
      <c r="I348">
        <v>-1.3505456633926501E-2</v>
      </c>
    </row>
    <row r="349" spans="1:9" x14ac:dyDescent="0.25">
      <c r="A349">
        <v>53.287820518016801</v>
      </c>
      <c r="B349">
        <v>15.9540236279504</v>
      </c>
      <c r="C349">
        <v>4.64436798947645</v>
      </c>
      <c r="D349">
        <v>3.4597937712242901</v>
      </c>
      <c r="E349">
        <v>-0.83797691416109599</v>
      </c>
      <c r="F349">
        <v>5.8746848445516702E-4</v>
      </c>
      <c r="G349">
        <v>4.8029210337766602E-2</v>
      </c>
      <c r="H349">
        <v>0.54398634627003695</v>
      </c>
      <c r="I349">
        <v>-1.1964321262197E-2</v>
      </c>
    </row>
    <row r="350" spans="1:9" x14ac:dyDescent="0.25">
      <c r="A350">
        <v>59.071175158023799</v>
      </c>
      <c r="B350">
        <v>16.2093509970369</v>
      </c>
      <c r="C350">
        <v>4.2258343243702203</v>
      </c>
      <c r="D350">
        <v>3.0839725193797598</v>
      </c>
      <c r="E350">
        <v>-0.83322668896109897</v>
      </c>
      <c r="F350">
        <v>8.6861672781496802E-4</v>
      </c>
      <c r="G350">
        <v>4.1702182050176499E-2</v>
      </c>
      <c r="H350">
        <v>0.52953389216426605</v>
      </c>
      <c r="I350">
        <v>-1.0418527883491201E-2</v>
      </c>
    </row>
    <row r="351" spans="1:9" x14ac:dyDescent="0.25">
      <c r="A351">
        <v>65.375131070613804</v>
      </c>
      <c r="B351">
        <v>16.451485725505801</v>
      </c>
      <c r="C351">
        <v>3.8524507941929098</v>
      </c>
      <c r="D351">
        <v>2.7560195431343102</v>
      </c>
      <c r="E351">
        <v>-0.82567861617599503</v>
      </c>
      <c r="F351">
        <v>8.9035943092672905E-4</v>
      </c>
      <c r="G351">
        <v>3.6082453801039603E-2</v>
      </c>
      <c r="H351">
        <v>0.51668900319037003</v>
      </c>
      <c r="I351">
        <v>-8.9715750358630303E-3</v>
      </c>
    </row>
    <row r="352" spans="1:9" x14ac:dyDescent="0.25">
      <c r="A352">
        <v>72.246375679969702</v>
      </c>
      <c r="B352">
        <v>16.683163680522298</v>
      </c>
      <c r="C352">
        <v>3.52007692663391</v>
      </c>
      <c r="D352">
        <v>2.4708053377867998</v>
      </c>
      <c r="E352">
        <v>-0.81553334776533604</v>
      </c>
      <c r="F352">
        <v>4.71809987510103E-4</v>
      </c>
      <c r="G352">
        <v>3.1142233671385199E-2</v>
      </c>
      <c r="H352">
        <v>0.50512318580279603</v>
      </c>
      <c r="I352">
        <v>-7.6749257295155504E-3</v>
      </c>
    </row>
    <row r="353" spans="1:9" x14ac:dyDescent="0.25">
      <c r="A353">
        <v>79.736069738864799</v>
      </c>
      <c r="B353">
        <v>16.906415149955599</v>
      </c>
      <c r="C353">
        <v>3.2237591399734802</v>
      </c>
      <c r="D353">
        <v>2.2228662134120101</v>
      </c>
      <c r="E353">
        <v>-0.80295935028306598</v>
      </c>
      <c r="F353" s="1">
        <v>7.4753246679686302E-5</v>
      </c>
      <c r="G353">
        <v>2.6818912806816201E-2</v>
      </c>
      <c r="H353">
        <v>0.49418797894962502</v>
      </c>
      <c r="I353">
        <v>-6.54032409466054E-3</v>
      </c>
    </row>
    <row r="354" spans="1:9" x14ac:dyDescent="0.25">
      <c r="A354">
        <v>87.899753153324099</v>
      </c>
      <c r="B354">
        <v>17.122719348794401</v>
      </c>
      <c r="C354">
        <v>2.9579191914763201</v>
      </c>
      <c r="D354">
        <v>2.0064051109497298</v>
      </c>
      <c r="E354">
        <v>-0.78793866928046996</v>
      </c>
      <c r="F354">
        <v>1.88796233558288E-4</v>
      </c>
      <c r="G354">
        <v>2.3066688076154598E-2</v>
      </c>
      <c r="H354">
        <v>0.48378065891094701</v>
      </c>
      <c r="I354">
        <v>-5.5659741956042902E-3</v>
      </c>
    </row>
    <row r="355" spans="1:9" x14ac:dyDescent="0.25">
      <c r="A355">
        <v>96.798263192176805</v>
      </c>
      <c r="B355">
        <v>17.333548870323799</v>
      </c>
      <c r="C355">
        <v>2.7171042814643398</v>
      </c>
      <c r="D355">
        <v>1.81591720437037</v>
      </c>
      <c r="E355">
        <v>-0.77037536054476896</v>
      </c>
      <c r="F355">
        <v>7.1816815367552699E-4</v>
      </c>
      <c r="G355">
        <v>1.98313058031898E-2</v>
      </c>
      <c r="H355">
        <v>0.474026242168268</v>
      </c>
      <c r="I355">
        <v>-4.7388643411763699E-3</v>
      </c>
    </row>
    <row r="356" spans="1:9" x14ac:dyDescent="0.25">
      <c r="A356">
        <v>106.497616767883</v>
      </c>
      <c r="B356">
        <v>17.540048533505399</v>
      </c>
      <c r="C356">
        <v>2.4975414687560198</v>
      </c>
      <c r="D356">
        <v>1.6473465048040099</v>
      </c>
      <c r="E356">
        <v>-0.75021884879130196</v>
      </c>
      <c r="F356">
        <v>1.20001601494586E-3</v>
      </c>
      <c r="G356">
        <v>1.7034967830442501E-2</v>
      </c>
      <c r="H356">
        <v>0.46462465869922198</v>
      </c>
      <c r="I356">
        <v>-4.0342141106805996E-3</v>
      </c>
    </row>
    <row r="357" spans="1:9" x14ac:dyDescent="0.25">
      <c r="A357">
        <v>117.06990510225199</v>
      </c>
      <c r="B357">
        <v>17.7432421272757</v>
      </c>
      <c r="C357">
        <v>2.2961409375966402</v>
      </c>
      <c r="D357">
        <v>1.49688476070278</v>
      </c>
      <c r="E357">
        <v>-0.72721996697968305</v>
      </c>
      <c r="F357">
        <v>1.56913933358196E-3</v>
      </c>
      <c r="G357">
        <v>1.4607625074717899E-2</v>
      </c>
      <c r="H357">
        <v>0.45554065275090999</v>
      </c>
      <c r="I357">
        <v>-3.4266637083743999E-3</v>
      </c>
    </row>
    <row r="358" spans="1:9" x14ac:dyDescent="0.25">
      <c r="A358">
        <v>128.593670427799</v>
      </c>
      <c r="B358">
        <v>17.9439930481972</v>
      </c>
      <c r="C358">
        <v>2.1103596279999599</v>
      </c>
      <c r="D358">
        <v>1.3619388736914</v>
      </c>
      <c r="E358">
        <v>-0.70138628390071101</v>
      </c>
      <c r="F358">
        <v>2.2075084041552899E-3</v>
      </c>
      <c r="G358">
        <v>1.25024704704418E-2</v>
      </c>
      <c r="H358">
        <v>0.44681687697525002</v>
      </c>
      <c r="I358">
        <v>-2.9040608844543999E-3</v>
      </c>
    </row>
    <row r="359" spans="1:9" x14ac:dyDescent="0.25">
      <c r="A359">
        <v>141.15461230278001</v>
      </c>
      <c r="B359">
        <v>18.142847954681699</v>
      </c>
      <c r="C359">
        <v>1.9371102784816601</v>
      </c>
      <c r="D359">
        <v>1.2398592589555799</v>
      </c>
      <c r="E359">
        <v>-0.67233797790703298</v>
      </c>
      <c r="F359">
        <v>2.3699888488573802E-3</v>
      </c>
      <c r="G359">
        <v>1.06664245002717E-2</v>
      </c>
      <c r="H359">
        <v>0.43838151426018901</v>
      </c>
      <c r="I359">
        <v>-2.4505818637020902E-3</v>
      </c>
    </row>
    <row r="360" spans="1:9" x14ac:dyDescent="0.25">
      <c r="A360">
        <v>154.84601140022201</v>
      </c>
      <c r="B360">
        <v>18.340296852788502</v>
      </c>
      <c r="C360">
        <v>1.7734035412558999</v>
      </c>
      <c r="D360">
        <v>1.12789587164927</v>
      </c>
      <c r="E360">
        <v>-0.63987202714851099</v>
      </c>
      <c r="F360">
        <v>1.91701373212197E-3</v>
      </c>
      <c r="G360">
        <v>9.0611314026857893E-3</v>
      </c>
      <c r="H360">
        <v>0.43016433105435797</v>
      </c>
      <c r="I360">
        <v>-2.0574659067789298E-3</v>
      </c>
    </row>
    <row r="361" spans="1:9" x14ac:dyDescent="0.25">
      <c r="A361">
        <v>169.76969480514501</v>
      </c>
      <c r="B361">
        <v>18.537131403958998</v>
      </c>
      <c r="C361">
        <v>1.6176845751715501</v>
      </c>
      <c r="D361">
        <v>1.02394405704668</v>
      </c>
      <c r="E361">
        <v>-0.60352545803580004</v>
      </c>
      <c r="F361">
        <v>2.14287194049576E-3</v>
      </c>
      <c r="G361">
        <v>7.6434557234453101E-3</v>
      </c>
      <c r="H361">
        <v>0.42197625742184802</v>
      </c>
      <c r="I361">
        <v>-1.70898562828094E-3</v>
      </c>
    </row>
    <row r="362" spans="1:9" x14ac:dyDescent="0.25">
      <c r="A362">
        <v>186.03645980358101</v>
      </c>
      <c r="B362">
        <v>18.733222852847199</v>
      </c>
      <c r="C362">
        <v>1.4681617014502899</v>
      </c>
      <c r="D362">
        <v>0.92634276294692297</v>
      </c>
      <c r="E362">
        <v>-0.56314425796926204</v>
      </c>
      <c r="F362">
        <v>2.86167396218586E-3</v>
      </c>
      <c r="G362">
        <v>6.3819405694818098E-3</v>
      </c>
      <c r="H362">
        <v>0.41379973489762101</v>
      </c>
      <c r="I362">
        <v>-1.39800718376803E-3</v>
      </c>
    </row>
    <row r="363" spans="1:9" x14ac:dyDescent="0.25">
      <c r="A363">
        <v>203.76720398664401</v>
      </c>
      <c r="B363">
        <v>18.928248943215799</v>
      </c>
      <c r="C363">
        <v>1.32225354604997</v>
      </c>
      <c r="D363">
        <v>0.83315267357565503</v>
      </c>
      <c r="E363">
        <v>-0.51828162201842998</v>
      </c>
      <c r="F363">
        <v>3.1228317228447198E-3</v>
      </c>
      <c r="G363">
        <v>5.2578148560903501E-3</v>
      </c>
      <c r="H363">
        <v>0.40550870702134501</v>
      </c>
      <c r="I363">
        <v>-1.12066483022202E-3</v>
      </c>
    </row>
    <row r="364" spans="1:9" x14ac:dyDescent="0.25">
      <c r="A364">
        <v>223.09376105666101</v>
      </c>
      <c r="B364">
        <v>19.1214658370378</v>
      </c>
      <c r="C364">
        <v>1.17727748648803</v>
      </c>
      <c r="D364">
        <v>0.74206663785178495</v>
      </c>
      <c r="E364">
        <v>-0.46844650647267499</v>
      </c>
      <c r="F364">
        <v>2.5433142010484202E-3</v>
      </c>
      <c r="G364">
        <v>4.2588863854619401E-3</v>
      </c>
      <c r="H364">
        <v>0.39777210389455298</v>
      </c>
      <c r="I364">
        <v>-8.7727800175320695E-4</v>
      </c>
    </row>
    <row r="365" spans="1:9" x14ac:dyDescent="0.25">
      <c r="A365">
        <v>244.15970131754801</v>
      </c>
      <c r="B365">
        <v>19.311100389263199</v>
      </c>
      <c r="C365">
        <v>1.0339199119812199</v>
      </c>
      <c r="D365">
        <v>0.65282049252351004</v>
      </c>
      <c r="E365">
        <v>-0.41315298628088698</v>
      </c>
      <c r="F365">
        <v>2.4373764194364398E-3</v>
      </c>
      <c r="G365">
        <v>3.3690640278777398E-3</v>
      </c>
      <c r="H365">
        <v>0.389285216977868</v>
      </c>
      <c r="I365">
        <v>-6.6359322043735205E-4</v>
      </c>
    </row>
    <row r="366" spans="1:9" x14ac:dyDescent="0.25">
      <c r="A366">
        <v>267.12157949805197</v>
      </c>
      <c r="B366">
        <v>19.4932869965347</v>
      </c>
      <c r="C366">
        <v>0.89141198714059999</v>
      </c>
      <c r="D366">
        <v>0.56256444264513195</v>
      </c>
      <c r="E366">
        <v>-0.35227426285494001</v>
      </c>
      <c r="F366">
        <v>2.4816650738912998E-3</v>
      </c>
      <c r="G366">
        <v>2.5979185721623599E-3</v>
      </c>
      <c r="H366">
        <v>0.38137944972627702</v>
      </c>
      <c r="I366">
        <v>-4.85774800437712E-4</v>
      </c>
    </row>
    <row r="367" spans="1:9" x14ac:dyDescent="0.25">
      <c r="A367">
        <v>292.15002954006098</v>
      </c>
      <c r="B367">
        <v>19.6631771003963</v>
      </c>
      <c r="C367">
        <v>0.75045982582651005</v>
      </c>
      <c r="D367">
        <v>0.469910173341622</v>
      </c>
      <c r="E367">
        <v>-0.28475997782315499</v>
      </c>
      <c r="F367">
        <v>3.3401031676073599E-3</v>
      </c>
      <c r="G367">
        <v>1.9528022403073699E-3</v>
      </c>
      <c r="H367">
        <v>0.375809064543148</v>
      </c>
      <c r="I367">
        <v>-3.4303564121495098E-4</v>
      </c>
    </row>
    <row r="368" spans="1:9" x14ac:dyDescent="0.25">
      <c r="A368">
        <v>319.43101242184599</v>
      </c>
      <c r="B368">
        <v>19.813728151297799</v>
      </c>
      <c r="C368">
        <v>0.61647372749575802</v>
      </c>
      <c r="D368">
        <v>0.37784681184701902</v>
      </c>
      <c r="E368">
        <v>-0.210340951266205</v>
      </c>
      <c r="F368">
        <v>3.5835098589409799E-3</v>
      </c>
      <c r="G368">
        <v>1.4408712176432201E-3</v>
      </c>
      <c r="H368">
        <v>0.37442385778390402</v>
      </c>
      <c r="I368">
        <v>-2.39284719402619E-4</v>
      </c>
    </row>
    <row r="369" spans="1:9" x14ac:dyDescent="0.25">
      <c r="A369">
        <v>349.16732590645501</v>
      </c>
      <c r="B369">
        <v>19.9324457304688</v>
      </c>
      <c r="C369">
        <v>0.50447393730337298</v>
      </c>
      <c r="D369">
        <v>0.298617742403957</v>
      </c>
      <c r="E369">
        <v>-0.12789955697691299</v>
      </c>
      <c r="F369">
        <v>1.56323433467531E-3</v>
      </c>
      <c r="G369">
        <v>1.07971648283165E-3</v>
      </c>
      <c r="H369">
        <v>0.37528291940095398</v>
      </c>
      <c r="I369">
        <v>-1.7413281073011099E-4</v>
      </c>
    </row>
    <row r="370" spans="1:9" x14ac:dyDescent="0.25">
      <c r="A370">
        <v>379.83785875141598</v>
      </c>
      <c r="B370">
        <v>19.9953379346194</v>
      </c>
      <c r="C370">
        <v>0.44137363169625099</v>
      </c>
      <c r="D370">
        <v>0.254151504087821</v>
      </c>
      <c r="E370">
        <v>-4.2232285088224603E-2</v>
      </c>
      <c r="F370">
        <v>4.9137307760059601E-4</v>
      </c>
      <c r="G370">
        <v>8.9367896349395895E-4</v>
      </c>
      <c r="H370">
        <v>0.39144848215295802</v>
      </c>
      <c r="I370">
        <v>-1.3946975859258101E-4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topLeftCell="B389" workbookViewId="0">
      <selection activeCell="O195" sqref="O195:O434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7</v>
      </c>
    </row>
    <row r="2" spans="1:6" x14ac:dyDescent="0.25">
      <c r="A2" t="s">
        <v>7</v>
      </c>
    </row>
    <row r="3" spans="1:6" x14ac:dyDescent="0.25">
      <c r="A3" t="s">
        <v>8</v>
      </c>
      <c r="B3" t="s">
        <v>9</v>
      </c>
    </row>
    <row r="4" spans="1:6" x14ac:dyDescent="0.25">
      <c r="A4" t="s">
        <v>8</v>
      </c>
      <c r="B4" t="s">
        <v>10</v>
      </c>
      <c r="C4" t="s">
        <v>11</v>
      </c>
      <c r="D4" t="s">
        <v>12</v>
      </c>
      <c r="E4" t="s">
        <v>9</v>
      </c>
    </row>
    <row r="5" spans="1:6" x14ac:dyDescent="0.25">
      <c r="A5" t="s">
        <v>8</v>
      </c>
      <c r="B5" t="s">
        <v>13</v>
      </c>
      <c r="C5" t="s">
        <v>14</v>
      </c>
      <c r="D5" t="s">
        <v>9</v>
      </c>
    </row>
    <row r="6" spans="1:6" x14ac:dyDescent="0.25">
      <c r="A6" t="s">
        <v>8</v>
      </c>
      <c r="B6" t="s">
        <v>15</v>
      </c>
      <c r="C6" t="s">
        <v>16</v>
      </c>
      <c r="D6" t="s">
        <v>17</v>
      </c>
      <c r="E6" t="s">
        <v>18</v>
      </c>
      <c r="F6" t="s">
        <v>9</v>
      </c>
    </row>
    <row r="7" spans="1:6" x14ac:dyDescent="0.25">
      <c r="A7" t="s">
        <v>8</v>
      </c>
      <c r="B7" t="s">
        <v>19</v>
      </c>
      <c r="C7" t="s">
        <v>20</v>
      </c>
      <c r="D7" t="s">
        <v>21</v>
      </c>
      <c r="E7" t="s">
        <v>9</v>
      </c>
    </row>
    <row r="8" spans="1:6" x14ac:dyDescent="0.25">
      <c r="A8" t="s">
        <v>8</v>
      </c>
      <c r="B8" t="s">
        <v>9</v>
      </c>
    </row>
    <row r="9" spans="1:6" x14ac:dyDescent="0.25">
      <c r="A9" t="s">
        <v>8</v>
      </c>
      <c r="B9" t="s">
        <v>9</v>
      </c>
    </row>
    <row r="10" spans="1:6" x14ac:dyDescent="0.25">
      <c r="A10" t="s">
        <v>8</v>
      </c>
      <c r="B10" t="s">
        <v>22</v>
      </c>
      <c r="C10" t="s">
        <v>9</v>
      </c>
    </row>
    <row r="11" spans="1:6" x14ac:dyDescent="0.25">
      <c r="A11" t="s">
        <v>8</v>
      </c>
      <c r="B11" t="s">
        <v>9</v>
      </c>
    </row>
    <row r="12" spans="1:6" x14ac:dyDescent="0.25">
      <c r="A12" t="s">
        <v>8</v>
      </c>
      <c r="B12" t="s">
        <v>23</v>
      </c>
      <c r="C12" t="s">
        <v>24</v>
      </c>
      <c r="D12" t="s">
        <v>9</v>
      </c>
    </row>
    <row r="13" spans="1:6" x14ac:dyDescent="0.25">
      <c r="A13" t="s">
        <v>8</v>
      </c>
      <c r="B13" t="s">
        <v>9</v>
      </c>
    </row>
    <row r="14" spans="1:6" x14ac:dyDescent="0.25">
      <c r="A14" t="s">
        <v>8</v>
      </c>
      <c r="B14" t="s">
        <v>25</v>
      </c>
      <c r="C14" t="s">
        <v>26</v>
      </c>
      <c r="D14" t="s">
        <v>27</v>
      </c>
      <c r="E14" t="s">
        <v>28</v>
      </c>
      <c r="F14" t="s">
        <v>9</v>
      </c>
    </row>
    <row r="15" spans="1:6" x14ac:dyDescent="0.25">
      <c r="A15" t="s">
        <v>8</v>
      </c>
      <c r="B15" t="s">
        <v>9</v>
      </c>
    </row>
    <row r="16" spans="1:6" x14ac:dyDescent="0.25">
      <c r="A16" t="s">
        <v>8</v>
      </c>
      <c r="B16" t="s">
        <v>29</v>
      </c>
      <c r="C16" t="s">
        <v>26</v>
      </c>
      <c r="D16" t="s">
        <v>30</v>
      </c>
      <c r="E16" t="s">
        <v>31</v>
      </c>
      <c r="F16" t="s">
        <v>9</v>
      </c>
    </row>
    <row r="17" spans="1:10" x14ac:dyDescent="0.25">
      <c r="A17" t="s">
        <v>8</v>
      </c>
      <c r="B17" t="s">
        <v>32</v>
      </c>
      <c r="C17" t="s">
        <v>26</v>
      </c>
      <c r="D17" t="s">
        <v>33</v>
      </c>
      <c r="E17" t="s">
        <v>34</v>
      </c>
      <c r="F17" t="s">
        <v>35</v>
      </c>
      <c r="G17" t="s">
        <v>9</v>
      </c>
    </row>
    <row r="18" spans="1:10" x14ac:dyDescent="0.25">
      <c r="A18" t="s">
        <v>8</v>
      </c>
      <c r="B18" t="s">
        <v>36</v>
      </c>
      <c r="C18" t="s">
        <v>37</v>
      </c>
      <c r="D18" t="s">
        <v>26</v>
      </c>
      <c r="E18" t="s">
        <v>33</v>
      </c>
      <c r="F18" t="s">
        <v>9</v>
      </c>
    </row>
    <row r="19" spans="1:10" x14ac:dyDescent="0.25">
      <c r="A19" t="s">
        <v>8</v>
      </c>
      <c r="B19" t="s">
        <v>38</v>
      </c>
      <c r="C19" t="s">
        <v>39</v>
      </c>
      <c r="D19" t="s">
        <v>40</v>
      </c>
      <c r="E19" t="s">
        <v>9</v>
      </c>
    </row>
    <row r="20" spans="1:10" x14ac:dyDescent="0.25">
      <c r="A20" t="s">
        <v>8</v>
      </c>
      <c r="B20" t="s">
        <v>41</v>
      </c>
      <c r="C20" t="s">
        <v>9</v>
      </c>
    </row>
    <row r="21" spans="1:10" x14ac:dyDescent="0.25">
      <c r="A21" t="s">
        <v>8</v>
      </c>
      <c r="B21" t="s">
        <v>9</v>
      </c>
    </row>
    <row r="22" spans="1:10" x14ac:dyDescent="0.25">
      <c r="A22" t="s">
        <v>8</v>
      </c>
      <c r="B22" t="s">
        <v>9</v>
      </c>
    </row>
    <row r="23" spans="1:10" x14ac:dyDescent="0.25">
      <c r="A23" t="s">
        <v>8</v>
      </c>
      <c r="B23" t="s">
        <v>9</v>
      </c>
    </row>
    <row r="24" spans="1:10" x14ac:dyDescent="0.25">
      <c r="A24" t="s">
        <v>7</v>
      </c>
    </row>
    <row r="26" spans="1:10" x14ac:dyDescent="0.25">
      <c r="A26" t="s">
        <v>42</v>
      </c>
    </row>
    <row r="27" spans="1:10" x14ac:dyDescent="0.25">
      <c r="A27" t="s">
        <v>42</v>
      </c>
    </row>
    <row r="28" spans="1:10" x14ac:dyDescent="0.25">
      <c r="A28" t="s">
        <v>42</v>
      </c>
    </row>
    <row r="29" spans="1:10" x14ac:dyDescent="0.25">
      <c r="A29" t="s">
        <v>43</v>
      </c>
      <c r="B29" t="s">
        <v>44</v>
      </c>
      <c r="C29" t="s">
        <v>45</v>
      </c>
      <c r="D29" t="s">
        <v>44</v>
      </c>
      <c r="E29" t="s">
        <v>46</v>
      </c>
    </row>
    <row r="30" spans="1:10" x14ac:dyDescent="0.25">
      <c r="A30" t="s">
        <v>43</v>
      </c>
      <c r="B30" t="s">
        <v>46</v>
      </c>
    </row>
    <row r="31" spans="1:10" x14ac:dyDescent="0.25">
      <c r="A31" t="s">
        <v>43</v>
      </c>
      <c r="B31" t="s">
        <v>47</v>
      </c>
      <c r="C31" t="s">
        <v>48</v>
      </c>
      <c r="D31" t="s">
        <v>49</v>
      </c>
      <c r="E3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t="s">
        <v>46</v>
      </c>
    </row>
    <row r="33" spans="1:12" x14ac:dyDescent="0.25">
      <c r="A33" t="s">
        <v>43</v>
      </c>
      <c r="B33" t="s">
        <v>47</v>
      </c>
      <c r="C33" t="s">
        <v>52</v>
      </c>
      <c r="D33" t="s">
        <v>55</v>
      </c>
      <c r="E33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t="s">
        <v>60</v>
      </c>
      <c r="C34" t="s">
        <v>52</v>
      </c>
      <c r="D34" t="s">
        <v>61</v>
      </c>
      <c r="E34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t="s">
        <v>66</v>
      </c>
      <c r="C35" t="s">
        <v>67</v>
      </c>
      <c r="D35" t="s">
        <v>68</v>
      </c>
      <c r="E35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t="s">
        <v>74</v>
      </c>
      <c r="C36" t="s">
        <v>75</v>
      </c>
      <c r="D36" t="s">
        <v>76</v>
      </c>
      <c r="E36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t="s">
        <v>80</v>
      </c>
      <c r="C37" t="s">
        <v>34</v>
      </c>
      <c r="D37" t="s">
        <v>81</v>
      </c>
      <c r="E37" t="s">
        <v>82</v>
      </c>
      <c r="F37" t="s">
        <v>83</v>
      </c>
      <c r="G37" t="s">
        <v>46</v>
      </c>
    </row>
    <row r="38" spans="1:12" x14ac:dyDescent="0.25">
      <c r="A38" t="s">
        <v>43</v>
      </c>
      <c r="B38" t="s">
        <v>46</v>
      </c>
    </row>
    <row r="39" spans="1:12" x14ac:dyDescent="0.25">
      <c r="A39" t="s">
        <v>43</v>
      </c>
      <c r="B39" t="s">
        <v>84</v>
      </c>
      <c r="C39" t="s">
        <v>55</v>
      </c>
      <c r="D39" t="s">
        <v>56</v>
      </c>
      <c r="E39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t="s">
        <v>46</v>
      </c>
    </row>
    <row r="41" spans="1:12" x14ac:dyDescent="0.25">
      <c r="A41" t="s">
        <v>43</v>
      </c>
      <c r="B41" t="s">
        <v>84</v>
      </c>
      <c r="C41" t="s">
        <v>55</v>
      </c>
      <c r="D41" t="s">
        <v>56</v>
      </c>
      <c r="E4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t="s">
        <v>53</v>
      </c>
      <c r="C42" t="s">
        <v>92</v>
      </c>
      <c r="D42" t="s">
        <v>19</v>
      </c>
      <c r="E42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t="s">
        <v>98</v>
      </c>
      <c r="C43" t="s">
        <v>99</v>
      </c>
      <c r="D43" t="s">
        <v>67</v>
      </c>
      <c r="E43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t="s">
        <v>103</v>
      </c>
      <c r="C44" t="s">
        <v>104</v>
      </c>
      <c r="D44" t="s">
        <v>46</v>
      </c>
    </row>
    <row r="45" spans="1:12" x14ac:dyDescent="0.25">
      <c r="A45" t="s">
        <v>43</v>
      </c>
      <c r="B45" t="s">
        <v>46</v>
      </c>
    </row>
    <row r="46" spans="1:12" x14ac:dyDescent="0.25">
      <c r="A46" t="s">
        <v>43</v>
      </c>
      <c r="B46" t="s">
        <v>105</v>
      </c>
      <c r="C46" t="s">
        <v>106</v>
      </c>
      <c r="D46" t="s">
        <v>107</v>
      </c>
      <c r="E46" t="s">
        <v>108</v>
      </c>
      <c r="F46" t="s">
        <v>46</v>
      </c>
    </row>
    <row r="47" spans="1:12" x14ac:dyDescent="0.25">
      <c r="A47" t="s">
        <v>43</v>
      </c>
      <c r="B47" t="s">
        <v>46</v>
      </c>
    </row>
    <row r="48" spans="1:12" x14ac:dyDescent="0.25">
      <c r="A48" t="s">
        <v>43</v>
      </c>
      <c r="B48" t="s">
        <v>109</v>
      </c>
      <c r="C48" t="s">
        <v>110</v>
      </c>
      <c r="D48">
        <v>2008</v>
      </c>
      <c r="E48" t="s">
        <v>46</v>
      </c>
    </row>
    <row r="49" spans="1:12" x14ac:dyDescent="0.25">
      <c r="A49" t="s">
        <v>42</v>
      </c>
    </row>
    <row r="50" spans="1:12" x14ac:dyDescent="0.25">
      <c r="A50" t="s">
        <v>42</v>
      </c>
    </row>
    <row r="51" spans="1:12" x14ac:dyDescent="0.25">
      <c r="A51" t="s">
        <v>111</v>
      </c>
      <c r="B51" t="s">
        <v>396</v>
      </c>
    </row>
    <row r="53" spans="1:12" x14ac:dyDescent="0.25">
      <c r="A53" t="s">
        <v>113</v>
      </c>
      <c r="B53" t="s">
        <v>26</v>
      </c>
      <c r="C53" t="s">
        <v>114</v>
      </c>
      <c r="D53" t="s">
        <v>109</v>
      </c>
      <c r="E53" t="s">
        <v>110</v>
      </c>
      <c r="F53">
        <v>2008</v>
      </c>
    </row>
    <row r="55" spans="1:12" x14ac:dyDescent="0.25">
      <c r="A55" t="s">
        <v>115</v>
      </c>
      <c r="B55" t="s">
        <v>116</v>
      </c>
      <c r="C55" t="s">
        <v>117</v>
      </c>
      <c r="D55" t="s">
        <v>118</v>
      </c>
      <c r="E55" t="s">
        <v>119</v>
      </c>
      <c r="F55" t="s">
        <v>120</v>
      </c>
      <c r="G55" t="s">
        <v>121</v>
      </c>
      <c r="H55" t="s">
        <v>122</v>
      </c>
      <c r="I55" t="s">
        <v>34</v>
      </c>
      <c r="J55" t="s">
        <v>123</v>
      </c>
      <c r="K55" t="s">
        <v>24</v>
      </c>
      <c r="L55" t="s">
        <v>122</v>
      </c>
    </row>
    <row r="57" spans="1:12" x14ac:dyDescent="0.25">
      <c r="B57" t="s">
        <v>122</v>
      </c>
      <c r="C57" t="s">
        <v>29</v>
      </c>
      <c r="D57" t="s">
        <v>26</v>
      </c>
      <c r="E57" t="s">
        <v>30</v>
      </c>
      <c r="F57" t="s">
        <v>31</v>
      </c>
    </row>
    <row r="58" spans="1:12" x14ac:dyDescent="0.25">
      <c r="B58" t="s">
        <v>32</v>
      </c>
      <c r="C58" t="s">
        <v>26</v>
      </c>
      <c r="D58" t="s">
        <v>33</v>
      </c>
      <c r="E58" t="s">
        <v>34</v>
      </c>
      <c r="F58" t="s">
        <v>35</v>
      </c>
    </row>
    <row r="59" spans="1:12" x14ac:dyDescent="0.25">
      <c r="B59" t="s">
        <v>36</v>
      </c>
      <c r="C59" t="s">
        <v>37</v>
      </c>
      <c r="D59" t="s">
        <v>26</v>
      </c>
      <c r="E59" t="s">
        <v>33</v>
      </c>
    </row>
    <row r="60" spans="1:12" x14ac:dyDescent="0.25">
      <c r="B60" t="s">
        <v>38</v>
      </c>
      <c r="C60" t="s">
        <v>39</v>
      </c>
      <c r="D60" t="s">
        <v>124</v>
      </c>
      <c r="E60" t="s">
        <v>41</v>
      </c>
    </row>
    <row r="61" spans="1:12" x14ac:dyDescent="0.25">
      <c r="B61" t="s">
        <v>125</v>
      </c>
      <c r="C61" t="s">
        <v>126</v>
      </c>
      <c r="D61" t="s">
        <v>127</v>
      </c>
    </row>
    <row r="63" spans="1:12" x14ac:dyDescent="0.25">
      <c r="A63" t="s">
        <v>128</v>
      </c>
    </row>
    <row r="64" spans="1:12" x14ac:dyDescent="0.25">
      <c r="B64" t="s">
        <v>397</v>
      </c>
      <c r="C64" t="s">
        <v>130</v>
      </c>
      <c r="D64" t="s">
        <v>398</v>
      </c>
    </row>
    <row r="65" spans="2:11" x14ac:dyDescent="0.25">
      <c r="B65" t="s">
        <v>399</v>
      </c>
      <c r="C65" t="s">
        <v>130</v>
      </c>
      <c r="D65" t="s">
        <v>400</v>
      </c>
      <c r="E65" t="s">
        <v>337</v>
      </c>
      <c r="F65" t="s">
        <v>401</v>
      </c>
    </row>
    <row r="66" spans="2:11" x14ac:dyDescent="0.25">
      <c r="B66" t="s">
        <v>129</v>
      </c>
      <c r="C66" t="s">
        <v>130</v>
      </c>
      <c r="D66" t="s">
        <v>131</v>
      </c>
      <c r="E66" t="s">
        <v>132</v>
      </c>
      <c r="F66" t="s">
        <v>133</v>
      </c>
    </row>
    <row r="67" spans="2:11" x14ac:dyDescent="0.25">
      <c r="B67" t="s">
        <v>402</v>
      </c>
      <c r="C67" t="s">
        <v>130</v>
      </c>
      <c r="D67" t="s">
        <v>403</v>
      </c>
      <c r="E67" t="s">
        <v>107</v>
      </c>
      <c r="F67" t="s">
        <v>404</v>
      </c>
      <c r="G67" t="s">
        <v>144</v>
      </c>
    </row>
    <row r="68" spans="2:11" x14ac:dyDescent="0.25">
      <c r="B68" t="s">
        <v>138</v>
      </c>
      <c r="C68" t="s">
        <v>130</v>
      </c>
      <c r="D68" t="s">
        <v>139</v>
      </c>
      <c r="E68" t="s">
        <v>140</v>
      </c>
    </row>
    <row r="69" spans="2:11" x14ac:dyDescent="0.25">
      <c r="B69" t="s">
        <v>405</v>
      </c>
      <c r="C69" t="s">
        <v>130</v>
      </c>
      <c r="D69" t="s">
        <v>406</v>
      </c>
      <c r="E69" t="s">
        <v>407</v>
      </c>
      <c r="F69" t="s">
        <v>144</v>
      </c>
    </row>
    <row r="70" spans="2:11" x14ac:dyDescent="0.25">
      <c r="B70" t="s">
        <v>408</v>
      </c>
      <c r="C70" t="s">
        <v>130</v>
      </c>
      <c r="D70" t="s">
        <v>409</v>
      </c>
      <c r="E70" t="s">
        <v>337</v>
      </c>
      <c r="F70" t="s">
        <v>338</v>
      </c>
    </row>
    <row r="71" spans="2:11" x14ac:dyDescent="0.25">
      <c r="B71" t="s">
        <v>141</v>
      </c>
      <c r="C71" t="s">
        <v>130</v>
      </c>
      <c r="D71" t="s">
        <v>142</v>
      </c>
      <c r="E71" t="s">
        <v>107</v>
      </c>
      <c r="F71" t="s">
        <v>143</v>
      </c>
      <c r="G71" t="s">
        <v>144</v>
      </c>
    </row>
    <row r="72" spans="2:11" x14ac:dyDescent="0.25">
      <c r="B72" t="s">
        <v>145</v>
      </c>
      <c r="C72" t="s">
        <v>130</v>
      </c>
      <c r="D72" t="s">
        <v>146</v>
      </c>
      <c r="E72" t="s">
        <v>107</v>
      </c>
      <c r="F72" t="s">
        <v>143</v>
      </c>
      <c r="G72" t="s">
        <v>144</v>
      </c>
    </row>
    <row r="73" spans="2:11" x14ac:dyDescent="0.25">
      <c r="B73" t="s">
        <v>410</v>
      </c>
      <c r="C73" t="s">
        <v>130</v>
      </c>
      <c r="D73" t="s">
        <v>269</v>
      </c>
      <c r="E73" t="s">
        <v>411</v>
      </c>
    </row>
    <row r="74" spans="2:11" x14ac:dyDescent="0.25">
      <c r="B74" t="s">
        <v>147</v>
      </c>
      <c r="C74" t="s">
        <v>130</v>
      </c>
      <c r="D74" t="s">
        <v>148</v>
      </c>
    </row>
    <row r="75" spans="2:11" x14ac:dyDescent="0.25">
      <c r="B75" t="s">
        <v>149</v>
      </c>
      <c r="C75" t="s">
        <v>130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130</v>
      </c>
      <c r="D77" t="s">
        <v>166</v>
      </c>
      <c r="E77" t="s">
        <v>152</v>
      </c>
    </row>
    <row r="78" spans="2:11" x14ac:dyDescent="0.25">
      <c r="B78" t="s">
        <v>412</v>
      </c>
      <c r="C78" t="s">
        <v>130</v>
      </c>
      <c r="D78" t="s">
        <v>339</v>
      </c>
      <c r="E78" t="s">
        <v>413</v>
      </c>
    </row>
    <row r="79" spans="2:11" x14ac:dyDescent="0.25">
      <c r="B79" t="s">
        <v>414</v>
      </c>
      <c r="C79" t="s">
        <v>130</v>
      </c>
      <c r="D79" t="s">
        <v>150</v>
      </c>
      <c r="E79" t="s">
        <v>151</v>
      </c>
      <c r="F79" t="s">
        <v>339</v>
      </c>
    </row>
    <row r="80" spans="2:11" x14ac:dyDescent="0.25">
      <c r="B80" t="s">
        <v>415</v>
      </c>
      <c r="C80" t="s">
        <v>130</v>
      </c>
      <c r="D80" t="s">
        <v>151</v>
      </c>
      <c r="E80" t="s">
        <v>339</v>
      </c>
    </row>
    <row r="81" spans="1:14" x14ac:dyDescent="0.25">
      <c r="B81" t="s">
        <v>416</v>
      </c>
      <c r="C81" t="s">
        <v>130</v>
      </c>
      <c r="D81" t="s">
        <v>417</v>
      </c>
      <c r="E81" t="s">
        <v>107</v>
      </c>
      <c r="F81" t="s">
        <v>166</v>
      </c>
      <c r="G81" t="s">
        <v>339</v>
      </c>
    </row>
    <row r="82" spans="1:14" x14ac:dyDescent="0.25">
      <c r="B82" t="s">
        <v>418</v>
      </c>
      <c r="C82" t="s">
        <v>130</v>
      </c>
      <c r="D82" t="s">
        <v>5</v>
      </c>
      <c r="E82" t="s">
        <v>339</v>
      </c>
    </row>
    <row r="83" spans="1:14" x14ac:dyDescent="0.25">
      <c r="B83" t="s">
        <v>167</v>
      </c>
      <c r="C83" t="s">
        <v>168</v>
      </c>
      <c r="D83" t="s">
        <v>169</v>
      </c>
      <c r="E83" t="s">
        <v>130</v>
      </c>
      <c r="F83" t="s">
        <v>158</v>
      </c>
      <c r="G83" t="s">
        <v>159</v>
      </c>
      <c r="H83" t="s">
        <v>34</v>
      </c>
      <c r="I83" t="s">
        <v>160</v>
      </c>
      <c r="J83" t="s">
        <v>170</v>
      </c>
    </row>
    <row r="85" spans="1:14" x14ac:dyDescent="0.25">
      <c r="B85" t="s">
        <v>171</v>
      </c>
      <c r="C85" t="s">
        <v>130</v>
      </c>
      <c r="D85" t="s">
        <v>172</v>
      </c>
      <c r="E85" t="s">
        <v>51</v>
      </c>
      <c r="F85" t="s">
        <v>5</v>
      </c>
      <c r="G85" t="s">
        <v>173</v>
      </c>
      <c r="H85" t="s">
        <v>174</v>
      </c>
      <c r="I85" t="s">
        <v>419</v>
      </c>
      <c r="J85" t="s">
        <v>138</v>
      </c>
      <c r="K85" t="s">
        <v>34</v>
      </c>
      <c r="L85" t="s">
        <v>175</v>
      </c>
    </row>
    <row r="86" spans="1:14" x14ac:dyDescent="0.25">
      <c r="B86" t="s">
        <v>420</v>
      </c>
      <c r="C86" t="s">
        <v>130</v>
      </c>
      <c r="D86" t="s">
        <v>421</v>
      </c>
      <c r="E86" t="s">
        <v>422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10</v>
      </c>
      <c r="C90" t="s">
        <v>81</v>
      </c>
      <c r="D90" t="s">
        <v>177</v>
      </c>
      <c r="E90" t="s">
        <v>178</v>
      </c>
      <c r="F90" t="s">
        <v>26</v>
      </c>
      <c r="G90" t="s">
        <v>135</v>
      </c>
      <c r="H90" t="s">
        <v>337</v>
      </c>
      <c r="I90" t="s">
        <v>423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84</v>
      </c>
      <c r="C91" t="s">
        <v>184</v>
      </c>
      <c r="D91" t="s">
        <v>185</v>
      </c>
      <c r="E91" t="s">
        <v>97</v>
      </c>
      <c r="F91" t="s">
        <v>73</v>
      </c>
      <c r="G91" t="s">
        <v>186</v>
      </c>
      <c r="H91" t="s">
        <v>187</v>
      </c>
      <c r="I91" t="s">
        <v>135</v>
      </c>
      <c r="J91" t="s">
        <v>131</v>
      </c>
      <c r="K91" t="s">
        <v>185</v>
      </c>
      <c r="L91" t="s">
        <v>188</v>
      </c>
      <c r="M91" t="s">
        <v>51</v>
      </c>
    </row>
    <row r="92" spans="1:14" x14ac:dyDescent="0.25">
      <c r="B92" t="s">
        <v>73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84</v>
      </c>
      <c r="C93" t="s">
        <v>424</v>
      </c>
      <c r="D93" t="s">
        <v>77</v>
      </c>
      <c r="E93" t="s">
        <v>192</v>
      </c>
      <c r="F93" t="s">
        <v>97</v>
      </c>
      <c r="G93" t="s">
        <v>76</v>
      </c>
      <c r="H93" t="s">
        <v>202</v>
      </c>
      <c r="I93" t="s">
        <v>52</v>
      </c>
      <c r="J93" t="s">
        <v>154</v>
      </c>
      <c r="K93" t="s">
        <v>34</v>
      </c>
      <c r="L93" t="s">
        <v>160</v>
      </c>
    </row>
    <row r="94" spans="1:14" x14ac:dyDescent="0.25">
      <c r="B94" t="s">
        <v>281</v>
      </c>
      <c r="C94" t="s">
        <v>425</v>
      </c>
      <c r="D94" t="s">
        <v>52</v>
      </c>
      <c r="E94" t="s">
        <v>426</v>
      </c>
      <c r="F94" t="s">
        <v>77</v>
      </c>
      <c r="G94" t="s">
        <v>192</v>
      </c>
      <c r="H94" t="s">
        <v>97</v>
      </c>
      <c r="I94" t="s">
        <v>195</v>
      </c>
      <c r="J94" t="s">
        <v>202</v>
      </c>
      <c r="K94" t="s">
        <v>52</v>
      </c>
      <c r="L94" t="s">
        <v>5</v>
      </c>
    </row>
    <row r="95" spans="1:14" x14ac:dyDescent="0.25">
      <c r="B95" t="e">
        <f>-normal</f>
        <v>#NAME?</v>
      </c>
      <c r="C95" t="s">
        <v>427</v>
      </c>
      <c r="D95" t="s">
        <v>428</v>
      </c>
      <c r="E95" t="s">
        <v>366</v>
      </c>
      <c r="F95" t="s">
        <v>52</v>
      </c>
      <c r="G95" t="s">
        <v>197</v>
      </c>
      <c r="H95" t="s">
        <v>34</v>
      </c>
      <c r="I95" t="s">
        <v>198</v>
      </c>
      <c r="J95" t="s">
        <v>199</v>
      </c>
    </row>
    <row r="96" spans="1:14" x14ac:dyDescent="0.25">
      <c r="B96" t="s">
        <v>84</v>
      </c>
      <c r="C96" t="s">
        <v>269</v>
      </c>
      <c r="D96" t="s">
        <v>77</v>
      </c>
      <c r="E96" t="s">
        <v>192</v>
      </c>
      <c r="F96" t="s">
        <v>97</v>
      </c>
      <c r="G96" t="s">
        <v>429</v>
      </c>
      <c r="H96" t="s">
        <v>430</v>
      </c>
      <c r="I96" t="s">
        <v>431</v>
      </c>
      <c r="J96" t="s">
        <v>60</v>
      </c>
      <c r="K96" t="s">
        <v>432</v>
      </c>
      <c r="L96" t="s">
        <v>26</v>
      </c>
      <c r="M96" t="s">
        <v>52</v>
      </c>
      <c r="N96" t="s">
        <v>199</v>
      </c>
    </row>
    <row r="97" spans="1:13" x14ac:dyDescent="0.25">
      <c r="B97" t="s">
        <v>200</v>
      </c>
      <c r="C97" t="s">
        <v>201</v>
      </c>
      <c r="D97" t="s">
        <v>49</v>
      </c>
      <c r="E97" t="s">
        <v>94</v>
      </c>
      <c r="F97" t="s">
        <v>202</v>
      </c>
      <c r="G97" t="s">
        <v>52</v>
      </c>
      <c r="H97" t="s">
        <v>203</v>
      </c>
      <c r="I97" t="s">
        <v>204</v>
      </c>
    </row>
    <row r="100" spans="1:13" x14ac:dyDescent="0.25">
      <c r="A100">
        <v>2</v>
      </c>
      <c r="B100" t="s">
        <v>433</v>
      </c>
    </row>
    <row r="102" spans="1:13" x14ac:dyDescent="0.25">
      <c r="A102" t="s">
        <v>206</v>
      </c>
      <c r="B102" t="s">
        <v>207</v>
      </c>
      <c r="C102" t="s">
        <v>208</v>
      </c>
      <c r="D102" t="s">
        <v>209</v>
      </c>
      <c r="E102" t="s">
        <v>210</v>
      </c>
      <c r="F102" t="s">
        <v>34</v>
      </c>
      <c r="G102" t="s">
        <v>211</v>
      </c>
      <c r="H102" t="s">
        <v>212</v>
      </c>
    </row>
    <row r="103" spans="1:13" x14ac:dyDescent="0.25">
      <c r="B103" t="s">
        <v>213</v>
      </c>
    </row>
    <row r="104" spans="1:13" x14ac:dyDescent="0.25">
      <c r="B104" t="s">
        <v>19</v>
      </c>
      <c r="C104" t="s">
        <v>73</v>
      </c>
      <c r="D104" t="s">
        <v>214</v>
      </c>
      <c r="E104" t="s">
        <v>215</v>
      </c>
      <c r="F104" t="s">
        <v>216</v>
      </c>
      <c r="G104" t="s">
        <v>217</v>
      </c>
      <c r="H104" t="s">
        <v>26</v>
      </c>
      <c r="I104" t="s">
        <v>52</v>
      </c>
      <c r="J104" t="s">
        <v>218</v>
      </c>
      <c r="K104" t="s">
        <v>219</v>
      </c>
      <c r="L104" t="s">
        <v>220</v>
      </c>
    </row>
    <row r="105" spans="1:13" x14ac:dyDescent="0.25">
      <c r="B105" t="s">
        <v>60</v>
      </c>
      <c r="C105" t="s">
        <v>31</v>
      </c>
      <c r="D105" t="s">
        <v>221</v>
      </c>
      <c r="E105" t="s">
        <v>222</v>
      </c>
      <c r="F105" t="s">
        <v>34</v>
      </c>
      <c r="G105" t="s">
        <v>223</v>
      </c>
      <c r="H105" t="s">
        <v>224</v>
      </c>
      <c r="I105" t="s">
        <v>225</v>
      </c>
      <c r="J105" t="s">
        <v>226</v>
      </c>
      <c r="K105" t="s">
        <v>227</v>
      </c>
      <c r="L105" t="s">
        <v>228</v>
      </c>
      <c r="M105">
        <v>2008</v>
      </c>
    </row>
    <row r="107" spans="1:13" x14ac:dyDescent="0.25">
      <c r="A107" t="s">
        <v>229</v>
      </c>
      <c r="B107" t="s">
        <v>209</v>
      </c>
      <c r="C107" t="s">
        <v>232</v>
      </c>
      <c r="D107" t="s">
        <v>243</v>
      </c>
      <c r="E107" t="s">
        <v>244</v>
      </c>
      <c r="F107" t="s">
        <v>34</v>
      </c>
      <c r="G107" t="s">
        <v>211</v>
      </c>
      <c r="H107" t="s">
        <v>212</v>
      </c>
    </row>
    <row r="108" spans="1:13" x14ac:dyDescent="0.25">
      <c r="B108" t="s">
        <v>245</v>
      </c>
    </row>
    <row r="109" spans="1:13" x14ac:dyDescent="0.25">
      <c r="B109" t="s">
        <v>246</v>
      </c>
      <c r="C109" t="s">
        <v>247</v>
      </c>
      <c r="D109" t="s">
        <v>248</v>
      </c>
      <c r="E109" t="s">
        <v>1</v>
      </c>
      <c r="F109" t="s">
        <v>26</v>
      </c>
      <c r="G109" t="s">
        <v>16</v>
      </c>
      <c r="H109" t="s">
        <v>20</v>
      </c>
      <c r="I109" t="s">
        <v>21</v>
      </c>
    </row>
    <row r="110" spans="1:13" x14ac:dyDescent="0.25">
      <c r="B110" t="s">
        <v>202</v>
      </c>
      <c r="C110" t="s">
        <v>73</v>
      </c>
      <c r="D110" t="s">
        <v>17</v>
      </c>
      <c r="E110" t="s">
        <v>434</v>
      </c>
      <c r="F110" t="s">
        <v>250</v>
      </c>
      <c r="G110" t="s">
        <v>20</v>
      </c>
      <c r="H110" t="s">
        <v>34</v>
      </c>
      <c r="I110" t="s">
        <v>251</v>
      </c>
      <c r="J110" t="s">
        <v>21</v>
      </c>
      <c r="K110">
        <v>5</v>
      </c>
    </row>
    <row r="111" spans="1:13" x14ac:dyDescent="0.25">
      <c r="B111" t="s">
        <v>252</v>
      </c>
      <c r="C111" t="s">
        <v>26</v>
      </c>
      <c r="D111" t="s">
        <v>52</v>
      </c>
      <c r="E111" t="s">
        <v>253</v>
      </c>
      <c r="F111" t="s">
        <v>219</v>
      </c>
      <c r="G111" t="s">
        <v>220</v>
      </c>
      <c r="H111" t="s">
        <v>60</v>
      </c>
      <c r="I111" t="s">
        <v>250</v>
      </c>
    </row>
    <row r="112" spans="1:13" x14ac:dyDescent="0.25">
      <c r="B112" t="s">
        <v>20</v>
      </c>
      <c r="C112" t="s">
        <v>34</v>
      </c>
      <c r="D112" t="s">
        <v>251</v>
      </c>
      <c r="E112" t="s">
        <v>254</v>
      </c>
      <c r="F112" t="s">
        <v>244</v>
      </c>
      <c r="G112" t="s">
        <v>255</v>
      </c>
      <c r="H112" t="s">
        <v>210</v>
      </c>
      <c r="I112" t="s">
        <v>256</v>
      </c>
      <c r="J112" t="s">
        <v>257</v>
      </c>
      <c r="K112" t="s">
        <v>258</v>
      </c>
      <c r="L112" t="s">
        <v>259</v>
      </c>
    </row>
    <row r="113" spans="1:14" x14ac:dyDescent="0.25">
      <c r="B113" t="s">
        <v>227</v>
      </c>
      <c r="C113" t="s">
        <v>260</v>
      </c>
      <c r="D113">
        <v>2006</v>
      </c>
    </row>
    <row r="115" spans="1:14" x14ac:dyDescent="0.25">
      <c r="A115" t="s">
        <v>242</v>
      </c>
      <c r="B115" t="s">
        <v>211</v>
      </c>
      <c r="C115" t="s">
        <v>212</v>
      </c>
      <c r="D115" t="s">
        <v>230</v>
      </c>
      <c r="E115" t="s">
        <v>23</v>
      </c>
      <c r="F115" t="s">
        <v>34</v>
      </c>
      <c r="G115" t="s">
        <v>435</v>
      </c>
      <c r="H115" t="s">
        <v>436</v>
      </c>
    </row>
    <row r="116" spans="1:14" x14ac:dyDescent="0.25">
      <c r="B116" t="s">
        <v>437</v>
      </c>
    </row>
    <row r="117" spans="1:14" x14ac:dyDescent="0.25">
      <c r="B117" t="s">
        <v>19</v>
      </c>
      <c r="C117" t="s">
        <v>438</v>
      </c>
      <c r="D117" t="s">
        <v>143</v>
      </c>
      <c r="E117" t="s">
        <v>34</v>
      </c>
      <c r="F117" t="s">
        <v>407</v>
      </c>
      <c r="G117" t="s">
        <v>439</v>
      </c>
    </row>
    <row r="118" spans="1:14" x14ac:dyDescent="0.25">
      <c r="B118" t="s">
        <v>34</v>
      </c>
      <c r="C118" t="s">
        <v>77</v>
      </c>
      <c r="D118" t="s">
        <v>440</v>
      </c>
    </row>
    <row r="119" spans="1:14" x14ac:dyDescent="0.25">
      <c r="B119" t="s">
        <v>250</v>
      </c>
      <c r="C119" t="s">
        <v>20</v>
      </c>
      <c r="D119" t="s">
        <v>34</v>
      </c>
      <c r="E119" t="s">
        <v>251</v>
      </c>
      <c r="F119" t="s">
        <v>21</v>
      </c>
      <c r="G119">
        <v>3</v>
      </c>
      <c r="H119" t="s">
        <v>252</v>
      </c>
      <c r="I119" t="s">
        <v>26</v>
      </c>
      <c r="J119" t="s">
        <v>52</v>
      </c>
      <c r="K119" t="s">
        <v>441</v>
      </c>
      <c r="L119" t="s">
        <v>219</v>
      </c>
    </row>
    <row r="120" spans="1:14" x14ac:dyDescent="0.25">
      <c r="B120" t="s">
        <v>220</v>
      </c>
      <c r="C120" t="s">
        <v>60</v>
      </c>
      <c r="D120" t="s">
        <v>250</v>
      </c>
      <c r="E120" t="s">
        <v>20</v>
      </c>
      <c r="F120" t="s">
        <v>34</v>
      </c>
      <c r="G120" t="s">
        <v>251</v>
      </c>
      <c r="H120" t="s">
        <v>442</v>
      </c>
    </row>
    <row r="121" spans="1:14" x14ac:dyDescent="0.25">
      <c r="B121" t="s">
        <v>256</v>
      </c>
      <c r="C121" t="s">
        <v>232</v>
      </c>
      <c r="D121" t="s">
        <v>255</v>
      </c>
      <c r="E121" t="s">
        <v>244</v>
      </c>
      <c r="F121" t="s">
        <v>34</v>
      </c>
      <c r="G121" t="s">
        <v>443</v>
      </c>
      <c r="H121" t="s">
        <v>444</v>
      </c>
      <c r="I121" t="s">
        <v>259</v>
      </c>
    </row>
    <row r="122" spans="1:14" x14ac:dyDescent="0.25">
      <c r="B122" t="s">
        <v>445</v>
      </c>
      <c r="C122" t="s">
        <v>446</v>
      </c>
      <c r="D122" t="s">
        <v>227</v>
      </c>
      <c r="E122" t="s">
        <v>447</v>
      </c>
      <c r="F122">
        <v>2000</v>
      </c>
    </row>
    <row r="124" spans="1:14" x14ac:dyDescent="0.25">
      <c r="A124" t="s">
        <v>448</v>
      </c>
      <c r="B124" t="s">
        <v>230</v>
      </c>
      <c r="C124" t="s">
        <v>23</v>
      </c>
      <c r="D124" t="s">
        <v>34</v>
      </c>
      <c r="E124" t="s">
        <v>211</v>
      </c>
      <c r="F124" t="s">
        <v>212</v>
      </c>
    </row>
    <row r="125" spans="1:14" x14ac:dyDescent="0.25">
      <c r="B125" t="s">
        <v>449</v>
      </c>
    </row>
    <row r="126" spans="1:14" x14ac:dyDescent="0.25">
      <c r="B126" t="s">
        <v>359</v>
      </c>
      <c r="C126" t="s">
        <v>1</v>
      </c>
      <c r="D126" t="s">
        <v>450</v>
      </c>
      <c r="E126" t="s">
        <v>91</v>
      </c>
      <c r="F126" t="s">
        <v>145</v>
      </c>
      <c r="G126" t="s">
        <v>130</v>
      </c>
      <c r="H126">
        <v>640</v>
      </c>
      <c r="I126" t="s">
        <v>19</v>
      </c>
      <c r="J126" t="s">
        <v>405</v>
      </c>
      <c r="K126" t="s">
        <v>130</v>
      </c>
      <c r="L126">
        <v>2.5000000000000001E-2</v>
      </c>
      <c r="M126" t="s">
        <v>34</v>
      </c>
      <c r="N126" t="s">
        <v>451</v>
      </c>
    </row>
    <row r="127" spans="1:14" x14ac:dyDescent="0.25">
      <c r="B127" t="s">
        <v>217</v>
      </c>
      <c r="C127" t="s">
        <v>26</v>
      </c>
      <c r="D127" t="s">
        <v>452</v>
      </c>
      <c r="E127" t="s">
        <v>453</v>
      </c>
      <c r="F127" t="s">
        <v>221</v>
      </c>
      <c r="G127" t="s">
        <v>454</v>
      </c>
      <c r="H127" t="s">
        <v>227</v>
      </c>
      <c r="I127" t="s">
        <v>455</v>
      </c>
      <c r="J127">
        <v>2002</v>
      </c>
    </row>
    <row r="129" spans="1:12" x14ac:dyDescent="0.25">
      <c r="A129" t="s">
        <v>456</v>
      </c>
      <c r="B129" t="s">
        <v>230</v>
      </c>
      <c r="C129" t="s">
        <v>212</v>
      </c>
      <c r="D129" t="s">
        <v>211</v>
      </c>
      <c r="E129" t="s">
        <v>23</v>
      </c>
      <c r="F129" t="s">
        <v>34</v>
      </c>
      <c r="G129" t="s">
        <v>231</v>
      </c>
      <c r="H129" t="s">
        <v>232</v>
      </c>
    </row>
    <row r="130" spans="1:12" x14ac:dyDescent="0.25">
      <c r="B130" t="s">
        <v>233</v>
      </c>
    </row>
    <row r="131" spans="1:12" x14ac:dyDescent="0.25">
      <c r="B131" t="s">
        <v>19</v>
      </c>
      <c r="C131" t="s">
        <v>234</v>
      </c>
      <c r="D131" t="s">
        <v>91</v>
      </c>
      <c r="E131" t="s">
        <v>143</v>
      </c>
      <c r="F131" t="s">
        <v>144</v>
      </c>
      <c r="G131" t="s">
        <v>235</v>
      </c>
    </row>
    <row r="132" spans="1:12" x14ac:dyDescent="0.25">
      <c r="B132" t="s">
        <v>236</v>
      </c>
      <c r="C132" t="s">
        <v>237</v>
      </c>
      <c r="D132" t="s">
        <v>238</v>
      </c>
      <c r="E132" t="s">
        <v>239</v>
      </c>
      <c r="F132" t="s">
        <v>225</v>
      </c>
      <c r="G132" t="s">
        <v>240</v>
      </c>
      <c r="H132" t="s">
        <v>227</v>
      </c>
      <c r="I132" t="s">
        <v>241</v>
      </c>
      <c r="J132">
        <v>2001</v>
      </c>
    </row>
    <row r="135" spans="1:12" x14ac:dyDescent="0.25">
      <c r="A135">
        <v>3</v>
      </c>
      <c r="B135" t="s">
        <v>11</v>
      </c>
      <c r="C135" t="s">
        <v>457</v>
      </c>
    </row>
    <row r="137" spans="1:12" x14ac:dyDescent="0.25">
      <c r="A137" t="s">
        <v>262</v>
      </c>
      <c r="B137" t="s">
        <v>263</v>
      </c>
      <c r="C137" t="s">
        <v>264</v>
      </c>
    </row>
    <row r="138" spans="1:12" x14ac:dyDescent="0.25">
      <c r="B138" t="s">
        <v>265</v>
      </c>
      <c r="C138" t="s">
        <v>266</v>
      </c>
      <c r="D138" t="s">
        <v>34</v>
      </c>
      <c r="E138" t="s">
        <v>52</v>
      </c>
      <c r="F138" t="s">
        <v>267</v>
      </c>
      <c r="G138" t="s">
        <v>266</v>
      </c>
      <c r="H138" t="s">
        <v>15</v>
      </c>
      <c r="I138" t="s">
        <v>185</v>
      </c>
      <c r="J138" t="s">
        <v>268</v>
      </c>
    </row>
    <row r="139" spans="1:12" x14ac:dyDescent="0.25">
      <c r="B139" t="s">
        <v>34</v>
      </c>
      <c r="C139" t="s">
        <v>52</v>
      </c>
      <c r="D139" t="s">
        <v>137</v>
      </c>
      <c r="E139" t="s">
        <v>266</v>
      </c>
      <c r="F139" t="s">
        <v>15</v>
      </c>
      <c r="G139" t="s">
        <v>269</v>
      </c>
      <c r="H139" t="s">
        <v>270</v>
      </c>
    </row>
    <row r="141" spans="1:12" x14ac:dyDescent="0.25">
      <c r="A141" t="s">
        <v>271</v>
      </c>
      <c r="B141" t="s">
        <v>272</v>
      </c>
      <c r="C141" t="s">
        <v>273</v>
      </c>
    </row>
    <row r="142" spans="1:12" x14ac:dyDescent="0.25">
      <c r="B142" t="s">
        <v>274</v>
      </c>
      <c r="C142" t="s">
        <v>275</v>
      </c>
      <c r="D142" t="s">
        <v>261</v>
      </c>
      <c r="E142" t="s">
        <v>276</v>
      </c>
      <c r="F142" t="s">
        <v>277</v>
      </c>
    </row>
    <row r="143" spans="1:12" x14ac:dyDescent="0.25">
      <c r="B143" t="s">
        <v>84</v>
      </c>
      <c r="C143" t="s">
        <v>278</v>
      </c>
      <c r="D143" t="s">
        <v>279</v>
      </c>
      <c r="E143" t="s">
        <v>280</v>
      </c>
      <c r="F143" t="s">
        <v>82</v>
      </c>
      <c r="G143" t="s">
        <v>276</v>
      </c>
      <c r="H143" t="s">
        <v>195</v>
      </c>
      <c r="I143" t="s">
        <v>202</v>
      </c>
      <c r="J143" t="s">
        <v>52</v>
      </c>
      <c r="K143" t="s">
        <v>154</v>
      </c>
      <c r="L143" t="s">
        <v>34</v>
      </c>
    </row>
    <row r="144" spans="1:12" x14ac:dyDescent="0.25">
      <c r="B144" t="s">
        <v>160</v>
      </c>
      <c r="C144" t="s">
        <v>281</v>
      </c>
      <c r="D144" t="s">
        <v>34</v>
      </c>
      <c r="E144" t="s">
        <v>52</v>
      </c>
      <c r="F144" t="s">
        <v>282</v>
      </c>
      <c r="G144" t="s">
        <v>279</v>
      </c>
      <c r="H144" t="s">
        <v>280</v>
      </c>
      <c r="I144" t="s">
        <v>82</v>
      </c>
      <c r="J144" t="s">
        <v>276</v>
      </c>
      <c r="K144" t="s">
        <v>89</v>
      </c>
    </row>
    <row r="145" spans="1:12" x14ac:dyDescent="0.25">
      <c r="B145" t="s">
        <v>202</v>
      </c>
      <c r="C145" t="s">
        <v>52</v>
      </c>
      <c r="D145" t="s">
        <v>159</v>
      </c>
      <c r="E145" t="s">
        <v>283</v>
      </c>
    </row>
    <row r="147" spans="1:12" x14ac:dyDescent="0.25">
      <c r="A147" t="s">
        <v>298</v>
      </c>
      <c r="B147" t="s">
        <v>247</v>
      </c>
      <c r="C147" t="s">
        <v>80</v>
      </c>
    </row>
    <row r="148" spans="1:12" x14ac:dyDescent="0.25">
      <c r="B148">
        <v>1.2</v>
      </c>
      <c r="C148" t="s">
        <v>34</v>
      </c>
      <c r="D148">
        <v>2.5</v>
      </c>
      <c r="E148" t="s">
        <v>5</v>
      </c>
      <c r="F148" t="s">
        <v>173</v>
      </c>
      <c r="G148" t="s">
        <v>202</v>
      </c>
      <c r="H148" t="s">
        <v>52</v>
      </c>
      <c r="I148" t="s">
        <v>299</v>
      </c>
      <c r="J148" t="s">
        <v>34</v>
      </c>
      <c r="K148" t="s">
        <v>300</v>
      </c>
      <c r="L148" t="s">
        <v>301</v>
      </c>
    </row>
    <row r="149" spans="1:12" x14ac:dyDescent="0.25">
      <c r="B149" t="s">
        <v>34</v>
      </c>
      <c r="C149">
        <v>0.11</v>
      </c>
      <c r="D149" t="s">
        <v>91</v>
      </c>
      <c r="E149">
        <v>2.1</v>
      </c>
      <c r="F149" t="s">
        <v>5</v>
      </c>
      <c r="G149" t="s">
        <v>173</v>
      </c>
      <c r="H149" t="s">
        <v>202</v>
      </c>
      <c r="I149" t="s">
        <v>52</v>
      </c>
      <c r="J149" t="s">
        <v>302</v>
      </c>
    </row>
    <row r="151" spans="1:12" x14ac:dyDescent="0.25">
      <c r="A151" t="s">
        <v>303</v>
      </c>
      <c r="B151" t="s">
        <v>304</v>
      </c>
      <c r="C151" t="s">
        <v>305</v>
      </c>
    </row>
    <row r="152" spans="1:12" x14ac:dyDescent="0.25">
      <c r="B152" t="s">
        <v>84</v>
      </c>
      <c r="C152" t="s">
        <v>306</v>
      </c>
      <c r="D152" t="s">
        <v>273</v>
      </c>
      <c r="E152" t="s">
        <v>15</v>
      </c>
      <c r="F152" t="s">
        <v>52</v>
      </c>
      <c r="G152" t="s">
        <v>307</v>
      </c>
      <c r="H152" t="s">
        <v>308</v>
      </c>
      <c r="I152" t="s">
        <v>19</v>
      </c>
      <c r="J152" t="s">
        <v>159</v>
      </c>
      <c r="K152" t="s">
        <v>309</v>
      </c>
    </row>
    <row r="153" spans="1:12" x14ac:dyDescent="0.25">
      <c r="B153" t="s">
        <v>34</v>
      </c>
      <c r="C153" t="s">
        <v>52</v>
      </c>
      <c r="D153" t="s">
        <v>282</v>
      </c>
      <c r="E153" t="s">
        <v>310</v>
      </c>
      <c r="F153" t="s">
        <v>273</v>
      </c>
      <c r="G153" t="s">
        <v>15</v>
      </c>
      <c r="H153" t="s">
        <v>52</v>
      </c>
      <c r="I153" t="s">
        <v>311</v>
      </c>
      <c r="J153" t="s">
        <v>312</v>
      </c>
    </row>
    <row r="155" spans="1:12" x14ac:dyDescent="0.25">
      <c r="A155" t="s">
        <v>313</v>
      </c>
      <c r="B155" t="s">
        <v>314</v>
      </c>
      <c r="C155" t="s">
        <v>315</v>
      </c>
    </row>
    <row r="156" spans="1:12" x14ac:dyDescent="0.25">
      <c r="B156" t="s">
        <v>316</v>
      </c>
      <c r="C156" t="s">
        <v>317</v>
      </c>
      <c r="D156" t="s">
        <v>318</v>
      </c>
      <c r="E156" t="s">
        <v>317</v>
      </c>
      <c r="F156" t="s">
        <v>319</v>
      </c>
    </row>
    <row r="158" spans="1:12" x14ac:dyDescent="0.25">
      <c r="A158" t="s">
        <v>320</v>
      </c>
      <c r="B158" t="s">
        <v>321</v>
      </c>
    </row>
    <row r="159" spans="1:12" x14ac:dyDescent="0.25">
      <c r="B159" t="s">
        <v>322</v>
      </c>
      <c r="C159" t="s">
        <v>323</v>
      </c>
    </row>
    <row r="161" spans="1:12" x14ac:dyDescent="0.25">
      <c r="A161" t="s">
        <v>324</v>
      </c>
      <c r="B161" t="s">
        <v>325</v>
      </c>
      <c r="C161" t="s">
        <v>144</v>
      </c>
    </row>
    <row r="162" spans="1:12" x14ac:dyDescent="0.25">
      <c r="B162">
        <v>2048</v>
      </c>
      <c r="C162" t="s">
        <v>317</v>
      </c>
      <c r="D162">
        <v>480</v>
      </c>
      <c r="E162" t="s">
        <v>317</v>
      </c>
      <c r="F162">
        <v>512</v>
      </c>
    </row>
    <row r="164" spans="1:12" x14ac:dyDescent="0.25">
      <c r="A164" t="s">
        <v>326</v>
      </c>
      <c r="B164" t="s">
        <v>327</v>
      </c>
      <c r="C164" t="s">
        <v>15</v>
      </c>
      <c r="D164" t="s">
        <v>328</v>
      </c>
      <c r="E164" t="s">
        <v>329</v>
      </c>
    </row>
    <row r="165" spans="1:12" x14ac:dyDescent="0.25">
      <c r="B165" t="s">
        <v>84</v>
      </c>
      <c r="C165" t="s">
        <v>330</v>
      </c>
      <c r="D165" t="s">
        <v>329</v>
      </c>
      <c r="E165" t="s">
        <v>97</v>
      </c>
      <c r="F165" t="s">
        <v>331</v>
      </c>
      <c r="G165" t="s">
        <v>51</v>
      </c>
    </row>
    <row r="166" spans="1:12" x14ac:dyDescent="0.25">
      <c r="B166" t="s">
        <v>332</v>
      </c>
      <c r="C166" t="s">
        <v>333</v>
      </c>
      <c r="D166" t="s">
        <v>334</v>
      </c>
      <c r="E166" t="s">
        <v>335</v>
      </c>
      <c r="F166" t="s">
        <v>135</v>
      </c>
      <c r="G166" t="s">
        <v>136</v>
      </c>
      <c r="H166" t="s">
        <v>137</v>
      </c>
      <c r="I166" t="s">
        <v>15</v>
      </c>
      <c r="J166" t="s">
        <v>152</v>
      </c>
      <c r="K166" t="s">
        <v>336</v>
      </c>
    </row>
    <row r="167" spans="1:12" x14ac:dyDescent="0.25">
      <c r="B167" t="s">
        <v>34</v>
      </c>
      <c r="C167" t="s">
        <v>332</v>
      </c>
      <c r="D167" t="s">
        <v>337</v>
      </c>
      <c r="E167" t="s">
        <v>338</v>
      </c>
      <c r="F167" t="s">
        <v>335</v>
      </c>
      <c r="G167" t="s">
        <v>339</v>
      </c>
      <c r="H167" t="s">
        <v>340</v>
      </c>
      <c r="I167" t="s">
        <v>15</v>
      </c>
      <c r="J167" t="s">
        <v>339</v>
      </c>
      <c r="K167" t="s">
        <v>270</v>
      </c>
    </row>
    <row r="169" spans="1:12" x14ac:dyDescent="0.25">
      <c r="A169" t="s">
        <v>341</v>
      </c>
      <c r="B169" t="s">
        <v>342</v>
      </c>
      <c r="C169" t="s">
        <v>26</v>
      </c>
      <c r="D169" t="s">
        <v>343</v>
      </c>
      <c r="E169" t="s">
        <v>344</v>
      </c>
      <c r="F169" t="s">
        <v>15</v>
      </c>
      <c r="G169" t="s">
        <v>345</v>
      </c>
      <c r="H169" t="s">
        <v>346</v>
      </c>
    </row>
    <row r="170" spans="1:12" x14ac:dyDescent="0.25">
      <c r="B170" t="s">
        <v>347</v>
      </c>
      <c r="C170">
        <v>948</v>
      </c>
      <c r="D170" t="s">
        <v>458</v>
      </c>
      <c r="E170" t="s">
        <v>350</v>
      </c>
      <c r="F170" t="s">
        <v>52</v>
      </c>
      <c r="G170" t="s">
        <v>185</v>
      </c>
      <c r="H170" t="s">
        <v>351</v>
      </c>
      <c r="I170" t="s">
        <v>52</v>
      </c>
      <c r="J170" t="s">
        <v>186</v>
      </c>
      <c r="K170" t="s">
        <v>187</v>
      </c>
      <c r="L170" t="s">
        <v>352</v>
      </c>
    </row>
    <row r="171" spans="1:12" x14ac:dyDescent="0.25">
      <c r="B171" t="s">
        <v>353</v>
      </c>
      <c r="C171" t="s">
        <v>344</v>
      </c>
      <c r="D171" t="s">
        <v>343</v>
      </c>
      <c r="E171" t="s">
        <v>354</v>
      </c>
      <c r="F171" t="s">
        <v>91</v>
      </c>
      <c r="G171" t="s">
        <v>355</v>
      </c>
      <c r="H171">
        <v>7</v>
      </c>
      <c r="I171" t="s">
        <v>356</v>
      </c>
      <c r="J171" t="s">
        <v>357</v>
      </c>
      <c r="K171" t="s">
        <v>358</v>
      </c>
      <c r="L171" t="s">
        <v>359</v>
      </c>
    </row>
    <row r="172" spans="1:12" x14ac:dyDescent="0.25">
      <c r="B172" t="s">
        <v>52</v>
      </c>
      <c r="C172" t="s">
        <v>360</v>
      </c>
      <c r="D172" t="s">
        <v>361</v>
      </c>
    </row>
    <row r="174" spans="1:12" x14ac:dyDescent="0.25">
      <c r="A174" t="s">
        <v>362</v>
      </c>
      <c r="B174" t="s">
        <v>363</v>
      </c>
    </row>
    <row r="175" spans="1:12" x14ac:dyDescent="0.25">
      <c r="B175" t="s">
        <v>364</v>
      </c>
      <c r="C175" t="s">
        <v>365</v>
      </c>
      <c r="D175" t="s">
        <v>366</v>
      </c>
      <c r="E175" t="s">
        <v>367</v>
      </c>
      <c r="F175" t="s">
        <v>368</v>
      </c>
      <c r="G175" t="s">
        <v>369</v>
      </c>
      <c r="H175" t="s">
        <v>370</v>
      </c>
      <c r="I175" t="s">
        <v>37</v>
      </c>
    </row>
    <row r="176" spans="1:12" x14ac:dyDescent="0.25">
      <c r="B176" t="s">
        <v>371</v>
      </c>
      <c r="C176" t="s">
        <v>364</v>
      </c>
      <c r="D176" t="s">
        <v>365</v>
      </c>
      <c r="E176" t="s">
        <v>366</v>
      </c>
      <c r="F176" t="s">
        <v>367</v>
      </c>
      <c r="G176" t="s">
        <v>368</v>
      </c>
      <c r="H176" t="s">
        <v>369</v>
      </c>
      <c r="I176" t="s">
        <v>370</v>
      </c>
      <c r="J176" t="s">
        <v>372</v>
      </c>
    </row>
    <row r="179" spans="1:4" x14ac:dyDescent="0.25">
      <c r="A179">
        <v>4</v>
      </c>
      <c r="B179" t="s">
        <v>373</v>
      </c>
    </row>
    <row r="181" spans="1:4" x14ac:dyDescent="0.25">
      <c r="A181" t="s">
        <v>374</v>
      </c>
      <c r="B181" t="s">
        <v>375</v>
      </c>
      <c r="C181" t="s">
        <v>376</v>
      </c>
    </row>
    <row r="183" spans="1:4" x14ac:dyDescent="0.25">
      <c r="B183" t="s">
        <v>145</v>
      </c>
      <c r="C183" t="s">
        <v>130</v>
      </c>
      <c r="D183">
        <v>395</v>
      </c>
    </row>
    <row r="184" spans="1:4" x14ac:dyDescent="0.25">
      <c r="B184" t="s">
        <v>405</v>
      </c>
      <c r="C184" t="s">
        <v>130</v>
      </c>
      <c r="D184">
        <v>0.71</v>
      </c>
    </row>
    <row r="186" spans="1:4" x14ac:dyDescent="0.25">
      <c r="A186" t="s">
        <v>377</v>
      </c>
      <c r="B186" t="s">
        <v>378</v>
      </c>
      <c r="C186" t="s">
        <v>151</v>
      </c>
      <c r="D186" t="s">
        <v>379</v>
      </c>
    </row>
    <row r="188" spans="1:4" x14ac:dyDescent="0.25">
      <c r="B188" t="s">
        <v>141</v>
      </c>
      <c r="C188" t="s">
        <v>130</v>
      </c>
      <c r="D188">
        <v>14062</v>
      </c>
    </row>
    <row r="189" spans="1:4" x14ac:dyDescent="0.25">
      <c r="B189" t="s">
        <v>402</v>
      </c>
      <c r="C189" t="s">
        <v>130</v>
      </c>
      <c r="D189">
        <v>36.65</v>
      </c>
    </row>
    <row r="192" spans="1:4" x14ac:dyDescent="0.25">
      <c r="A192">
        <v>5</v>
      </c>
      <c r="B192" t="s">
        <v>221</v>
      </c>
      <c r="C192" t="s">
        <v>380</v>
      </c>
    </row>
    <row r="194" spans="2:15" x14ac:dyDescent="0.25">
      <c r="B194" t="s">
        <v>381</v>
      </c>
      <c r="C194" t="s">
        <v>382</v>
      </c>
      <c r="D194" t="s">
        <v>459</v>
      </c>
      <c r="E194" t="s">
        <v>460</v>
      </c>
      <c r="F194" t="s">
        <v>461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381</v>
      </c>
      <c r="C436" t="s">
        <v>382</v>
      </c>
      <c r="D436" t="s">
        <v>462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387</v>
      </c>
      <c r="C679" t="s">
        <v>26</v>
      </c>
      <c r="D679" t="s">
        <v>286</v>
      </c>
      <c r="E679" t="s">
        <v>264</v>
      </c>
    </row>
    <row r="681" spans="1:7" x14ac:dyDescent="0.25">
      <c r="A681" t="s">
        <v>388</v>
      </c>
      <c r="B681" t="s">
        <v>26</v>
      </c>
      <c r="C681" t="s">
        <v>463</v>
      </c>
      <c r="D681" t="s">
        <v>107</v>
      </c>
    </row>
    <row r="682" spans="1:7" x14ac:dyDescent="0.25">
      <c r="B682" t="s">
        <v>382</v>
      </c>
      <c r="C682" t="s">
        <v>389</v>
      </c>
      <c r="D682" t="s">
        <v>390</v>
      </c>
      <c r="E682" t="s">
        <v>392</v>
      </c>
      <c r="F682" t="s">
        <v>393</v>
      </c>
      <c r="G682" t="s">
        <v>394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388</v>
      </c>
      <c r="B925" t="s">
        <v>26</v>
      </c>
      <c r="C925" t="s">
        <v>461</v>
      </c>
      <c r="D925" t="s">
        <v>107</v>
      </c>
    </row>
    <row r="926" spans="1:8" x14ac:dyDescent="0.25">
      <c r="B926" t="s">
        <v>382</v>
      </c>
      <c r="C926" t="s">
        <v>389</v>
      </c>
      <c r="D926" t="s">
        <v>390</v>
      </c>
      <c r="E926" t="s">
        <v>464</v>
      </c>
      <c r="F926" t="s">
        <v>392</v>
      </c>
      <c r="G926" t="s">
        <v>393</v>
      </c>
      <c r="H926" t="s">
        <v>394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388</v>
      </c>
      <c r="B1169" t="s">
        <v>26</v>
      </c>
      <c r="C1169" t="s">
        <v>462</v>
      </c>
      <c r="D1169" t="s">
        <v>107</v>
      </c>
    </row>
    <row r="1170" spans="1:8" x14ac:dyDescent="0.25">
      <c r="B1170" t="s">
        <v>382</v>
      </c>
      <c r="C1170" t="s">
        <v>389</v>
      </c>
      <c r="D1170" t="s">
        <v>390</v>
      </c>
      <c r="E1170" t="s">
        <v>464</v>
      </c>
      <c r="F1170" t="s">
        <v>392</v>
      </c>
      <c r="G1170" t="s">
        <v>393</v>
      </c>
      <c r="H1170" t="s">
        <v>394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scalar!_12m_1</vt:lpstr>
      <vt:lpstr>scalar!_13m_1</vt:lpstr>
      <vt:lpstr>DNS!_395_1</vt:lpstr>
      <vt:lpstr>Kawamura_scalar!_395_diric</vt:lpstr>
      <vt:lpstr>scalar!diricm_1</vt:lpstr>
      <vt:lpstr>Diss.!diss1_1</vt:lpstr>
      <vt:lpstr>Rij!fluct1_1</vt:lpstr>
      <vt:lpstr>'&lt;U&gt;'!moy1_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2018-02-26T09:39:40Z</dcterms:modified>
</cp:coreProperties>
</file>